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看這份表" sheetId="1" state="visible" r:id="rId1"/>
    <sheet xmlns:r="http://schemas.openxmlformats.org/officeDocument/2006/relationships" name="8月-階段查核" sheetId="2" state="visible" r:id="rId2"/>
    <sheet xmlns:r="http://schemas.openxmlformats.org/officeDocument/2006/relationships" name="9月-衝刺月" sheetId="3" state="visible" r:id="rId3"/>
    <sheet xmlns:r="http://schemas.openxmlformats.org/officeDocument/2006/relationships" name="10月-查核與參展" sheetId="4" state="visible" r:id="rId4"/>
    <sheet xmlns:r="http://schemas.openxmlformats.org/officeDocument/2006/relationships" name="11月-結案驗收" sheetId="5" state="visible" r:id="rId5"/>
    <sheet xmlns:r="http://schemas.openxmlformats.org/officeDocument/2006/relationships" name="交付文件連結" sheetId="6" state="visible" r:id="rId6"/>
    <sheet xmlns:r="http://schemas.openxmlformats.org/officeDocument/2006/relationships" name="資料夾與檔名規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2"/>
    </font>
    <font>
      <color rgb="00FFFFFF"/>
      <sz val="10"/>
    </font>
    <font>
      <b val="1"/>
    </font>
    <font>
      <b val="1"/>
      <sz val="11"/>
    </font>
    <font>
      <b val="1"/>
      <color rgb="001155CC"/>
      <u val="single"/>
    </font>
    <font>
      <b val="1"/>
      <color rgb="00FFFFFF"/>
      <sz val="11"/>
    </font>
    <font>
      <color rgb="001155CC"/>
      <u val="single"/>
    </font>
    <font>
      <b val="1"/>
      <color rgb="00FFFFFF"/>
      <sz val="13"/>
    </font>
    <font>
      <color rgb="00555555"/>
    </font>
  </fonts>
  <fills count="9">
    <fill>
      <patternFill/>
    </fill>
    <fill>
      <patternFill patternType="gray125"/>
    </fill>
    <fill>
      <patternFill patternType="solid">
        <fgColor rgb="001D5A55"/>
      </patternFill>
    </fill>
    <fill>
      <patternFill patternType="solid">
        <fgColor rgb="0033403D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5F5F5"/>
      </patternFill>
    </fill>
    <fill>
      <patternFill patternType="solid">
        <fgColor rgb="00F4F0E8"/>
      </patternFill>
    </fill>
    <fill>
      <patternFill patternType="solid">
        <fgColor rgb="00D9E7F5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1" pivotButton="0" quotePrefix="0" xfId="0"/>
    <xf numFmtId="0" fontId="6" fillId="4" borderId="1" applyAlignment="1" pivotButton="0" quotePrefix="0" xfId="0">
      <alignment vertical="center"/>
    </xf>
    <xf numFmtId="0" fontId="5" fillId="5" borderId="1" pivotButton="0" quotePrefix="0" xfId="0"/>
    <xf numFmtId="0" fontId="6" fillId="5" borderId="1" applyAlignment="1" pivotButton="0" quotePrefix="0" xfId="0">
      <alignment vertical="center"/>
    </xf>
    <xf numFmtId="0" fontId="5" fillId="6" borderId="1" pivotButton="0" quotePrefix="0" xfId="0"/>
    <xf numFmtId="0" fontId="6" fillId="6" borderId="1" applyAlignment="1" pivotButton="0" quotePrefix="0" xfId="0">
      <alignment vertical="center"/>
    </xf>
    <xf numFmtId="0" fontId="5" fillId="7" borderId="1" pivotButton="0" quotePrefix="0" xfId="0"/>
    <xf numFmtId="0" fontId="6" fillId="7" borderId="1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/>
    </xf>
    <xf numFmtId="9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10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5A55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Munea 補助案｜驗收與核銷 總進度表</t>
        </is>
      </c>
      <c r="B1" s="2" t="inlineStr">
        <is>
          <t>數位產業署 115 年度 AI 創新服務研發補助｜嘉瑪科技股份有限公司</t>
        </is>
      </c>
    </row>
    <row r="3">
      <c r="A3" s="3" t="inlineStr">
        <is>
          <t>八月進度一眼看</t>
        </is>
      </c>
      <c r="B3" s="4" t="inlineStr">
        <is>
          <t>（下面的數字會跟著八月分頁自動變，改狀態就會更新）</t>
        </is>
      </c>
    </row>
    <row r="4">
      <c r="A4" s="5" t="inlineStr">
        <is>
          <t>已完成</t>
        </is>
      </c>
      <c r="B4" s="6">
        <f>COUNTIF('8月-階段查核'!I:I,"完成")&amp;" 項"</f>
        <v/>
      </c>
    </row>
    <row r="5">
      <c r="A5" s="7" t="inlineStr">
        <is>
          <t>等你決定／你要做</t>
        </is>
      </c>
      <c r="B5" s="8">
        <f>COUNTIF('8月-階段查核'!I:I,"等Edward")&amp;" 項"</f>
        <v/>
      </c>
    </row>
    <row r="6">
      <c r="A6" s="9" t="inlineStr">
        <is>
          <t>還沒開始</t>
        </is>
      </c>
      <c r="B6" s="10">
        <f>COUNTIF('8月-階段查核'!I:I,"未開始")&amp;" 項"</f>
        <v/>
      </c>
    </row>
    <row r="7">
      <c r="A7" s="11" t="inlineStr">
        <is>
          <t>八月工作項合計</t>
        </is>
      </c>
      <c r="B7" s="12">
        <f>(COUNTA('8月-階段查核'!A:A)-1-COUNTIF('8月-階段查核'!I:I,"里程碑"))&amp;" 項"</f>
        <v/>
      </c>
    </row>
    <row r="9">
      <c r="A9" s="13" t="inlineStr"/>
      <c r="B9" s="14" t="inlineStr"/>
    </row>
    <row r="10" ht="46" customHeight="1">
      <c r="A10" s="13" t="inlineStr">
        <is>
          <t>這份表是什麼</t>
        </is>
      </c>
      <c r="B10" s="14" t="inlineStr">
        <is>
          <t>政府補助案的驗收與核銷追蹤總表。整個計畫（6/25–11/16）分三批要交東西：八月 5 個階段查核、十月 1 個、十一月 6 個加結案。每個月一個分頁，照著做、做完把「狀態」改成完成就好。</t>
        </is>
      </c>
    </row>
    <row r="11" ht="46" customHeight="1">
      <c r="A11" s="13" t="inlineStr">
        <is>
          <t>分頁怎麼看</t>
        </is>
      </c>
      <c r="B11" s="14" t="inlineStr">
        <is>
          <t>② 八月＝現在進行中，每項都寫了要交什麼、誰負責、幾號到期。③ 九月＝沒有查核點，是衝刺月。④ 十月＝一個查核點加照顧博覽會參展。⑤ 十一月＝結案驗收全部六項。⑥ 交付文件連結＝所有文件一次點得到。⑦ 資料夾與檔名規則＝東西該放哪、檔名怎麼取。</t>
        </is>
      </c>
    </row>
    <row r="12" ht="22" customHeight="1">
      <c r="A12" s="13" t="inlineStr">
        <is>
          <t>顏色的意思</t>
        </is>
      </c>
      <c r="B12" s="14" t="inlineStr">
        <is>
          <t>綠＝已完成；橘＝等 Edward 出手；藍＝重要日子（里程碑）；灰＝還沒開始。</t>
        </is>
      </c>
    </row>
    <row r="13" ht="22" customHeight="1">
      <c r="A13" s="13" t="inlineStr">
        <is>
          <t>文件都放在哪</t>
        </is>
      </c>
      <c r="B13" s="14" t="inlineStr">
        <is>
          <t>全部放在同一個雲端資料夾（下一列點進去）。表裡每一項後面也有直接連結，點了就開那份文件。</t>
        </is>
      </c>
    </row>
    <row r="14" ht="46" customHeight="1">
      <c r="A14" s="13" t="inlineStr">
        <is>
          <t>雲端資料夾</t>
        </is>
      </c>
      <c r="B14" s="15">
        <f>HYPERLINK("https://drive.google.com/drive/folders/19LtbvxZevGZMAn2tfsitYrSUTNeaWZbs","👉 點我開資料夾（所有驗收文件都在裡面）")</f>
        <v/>
      </c>
    </row>
    <row r="15">
      <c r="A15" s="13" t="inlineStr"/>
      <c r="B15" s="14" t="inlineStr"/>
    </row>
    <row r="16" ht="22" customHeight="1">
      <c r="A16" s="13" t="inlineStr">
        <is>
          <t>核銷要留三種帳</t>
        </is>
      </c>
      <c r="B16" s="14" t="inlineStr">
        <is>
          <t>政府補助的錢是「先做、憑證據請款」。整個計畫要留三種帳，缺一不可：</t>
        </is>
      </c>
    </row>
    <row r="17" ht="22" customHeight="1">
      <c r="A17" s="13" t="inlineStr">
        <is>
          <t>帳一：工時紀錄</t>
        </is>
      </c>
      <c r="B17" s="14" t="inlineStr">
        <is>
          <t>人事費靠這個核銷。每位參與計畫的同仁每個月要有投入工時紀錄（誰、做哪一項、幾小時），搭配薪資清冊和勞保紀錄。財務每月底收齊一次。</t>
        </is>
      </c>
    </row>
    <row r="18" ht="46" customHeight="1">
      <c r="A18" s="13" t="inlineStr">
        <is>
          <t>帳二：發票與憑證</t>
        </is>
      </c>
      <c r="B18" s="14" t="inlineStr">
        <is>
          <t>設備使用費（雲端與 AI 工具帳單）、驗證費（檢測公司的發票）、推廣費（參展與廣告發票、現場照片與成果）。發生一筆留一筆，抬頭統編一律開公司。</t>
        </is>
      </c>
    </row>
    <row r="19" ht="22" customHeight="1">
      <c r="A19" s="13" t="inlineStr">
        <is>
          <t>帳三：查核產出文件</t>
        </is>
      </c>
      <c r="B19" s="14" t="inlineStr">
        <is>
          <t>結案審查真正在看的東西——每個查核點的報告、測試紀錄、截圖、往來信件。本表每一項都寫了「要交什麼」，做完的文件放進雲端資料夾就算歸檔。</t>
        </is>
      </c>
    </row>
    <row r="20">
      <c r="A20" s="13" t="inlineStr"/>
      <c r="B20" s="14" t="inlineStr"/>
    </row>
    <row r="21" ht="22" customHeight="1">
      <c r="A21" s="13" t="inlineStr">
        <is>
          <t>誰是誰</t>
        </is>
      </c>
      <c r="B21" s="14" t="inlineStr">
        <is>
          <t>Edward＝計畫主持人曾宇晞；蘇菲＝AI 助理，負責文件產出與整理；Edward＋AI開發＝產品開發；財務＝陳少喬，負責工時冊與憑證歸檔。</t>
        </is>
      </c>
    </row>
    <row r="22" ht="46" customHeight="1">
      <c r="A22" s="13" t="inlineStr">
        <is>
          <t>重要日子</t>
        </is>
      </c>
      <c r="B22" s="14" t="inlineStr">
        <is>
          <t>8/12 審查會議（17:40 報到、台北市大同區承德路三段 287 號 C 棟）｜9/5 八月查核產出內部完成線（8/7 Edward 拍板：由 8/31 延後；對外查核點月份與 9 月底累計 60% 不變）｜10/1-3 台北國際照顧博覽會｜11/16 計畫結束與結案驗收。</t>
        </is>
      </c>
    </row>
    <row r="23" ht="22" customHeight="1">
      <c r="A23" s="13" t="inlineStr">
        <is>
          <t>這份表誰維護</t>
        </is>
      </c>
      <c r="B23" s="14" t="inlineStr">
        <is>
          <t>蘇菲更新後會自動同步到雲端；你和財務可以直接在雲端改狀態，改完我這邊也讀得到。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8E4A"/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32" customWidth="1" min="4" max="4"/>
    <col width="15" customWidth="1" min="5" max="5"/>
    <col width="15" customWidth="1" min="6" max="6"/>
    <col width="8" customWidth="1" min="7" max="7"/>
    <col width="8" customWidth="1" min="8" max="8"/>
    <col width="11" customWidth="1" min="9" max="9"/>
    <col width="8" customWidth="1" min="10" max="10"/>
    <col width="26" customWidth="1" min="11" max="11"/>
  </cols>
  <sheetData>
    <row r="1" ht="24" customHeight="1">
      <c r="A1" s="16" t="inlineStr">
        <is>
          <t>編號</t>
        </is>
      </c>
      <c r="B1" s="16" t="inlineStr">
        <is>
          <t>查核點</t>
        </is>
      </c>
      <c r="C1" s="16" t="inlineStr">
        <is>
          <t>工作項目</t>
        </is>
      </c>
      <c r="D1" s="16" t="inlineStr">
        <is>
          <t>要交什麼（白話）</t>
        </is>
      </c>
      <c r="E1" s="16" t="inlineStr">
        <is>
          <t>文件連結</t>
        </is>
      </c>
      <c r="F1" s="16" t="inlineStr">
        <is>
          <t>負責</t>
        </is>
      </c>
      <c r="G1" s="16" t="inlineStr">
        <is>
          <t>開始</t>
        </is>
      </c>
      <c r="H1" s="16" t="inlineStr">
        <is>
          <t>到期</t>
        </is>
      </c>
      <c r="I1" s="16" t="inlineStr">
        <is>
          <t>狀態</t>
        </is>
      </c>
      <c r="J1" s="16" t="inlineStr">
        <is>
          <t>完成%</t>
        </is>
      </c>
      <c r="K1" s="16" t="inlineStr">
        <is>
          <t>備註</t>
        </is>
      </c>
    </row>
    <row r="2" ht="32" customHeight="1">
      <c r="A2" s="17" t="inlineStr">
        <is>
          <t>A1-1</t>
        </is>
      </c>
      <c r="B2" s="17" t="inlineStr">
        <is>
          <t>A1 約束層</t>
        </is>
      </c>
      <c r="C2" s="18" t="inlineStr">
        <is>
          <t>約束層規則 v1</t>
        </is>
      </c>
      <c r="D2" s="18" t="inlineStr">
        <is>
          <t>AI 跟長輩講話的「分寸規則書」</t>
        </is>
      </c>
      <c r="E2" s="19">
        <f>HYPERLINK("https://docs.google.com/document/d/1c_vn5R_DQWfhWll7ud0_lY5fF6toifai8_yH8qVYeGo/edit","開規則文件")</f>
        <v/>
      </c>
      <c r="F2" s="17" t="inlineStr">
        <is>
          <t>蘇菲</t>
        </is>
      </c>
      <c r="G2" s="17" t="inlineStr">
        <is>
          <t>8/7</t>
        </is>
      </c>
      <c r="H2" s="17" t="inlineStr">
        <is>
          <t>8/7</t>
        </is>
      </c>
      <c r="I2" s="17" t="inlineStr">
        <is>
          <t>完成</t>
        </is>
      </c>
      <c r="J2" s="20" t="n">
        <v>1</v>
      </c>
      <c r="K2" s="18" t="inlineStr">
        <is>
          <t>已上雲端</t>
        </is>
      </c>
    </row>
    <row r="3" ht="32" customHeight="1">
      <c r="A3" s="21" t="inlineStr">
        <is>
          <t>A1-2</t>
        </is>
      </c>
      <c r="B3" s="21" t="inlineStr">
        <is>
          <t>A1 約束層</t>
        </is>
      </c>
      <c r="C3" s="22" t="inlineStr">
        <is>
          <t>規則接進產品</t>
        </is>
      </c>
      <c r="D3" s="22" t="inlineStr">
        <is>
          <t>把規則書真的裝進 App 對話裡</t>
        </is>
      </c>
      <c r="E3" s="21" t="inlineStr"/>
      <c r="F3" s="21" t="inlineStr">
        <is>
          <t>Edward＋AI開發</t>
        </is>
      </c>
      <c r="G3" s="21" t="inlineStr">
        <is>
          <t>8/25</t>
        </is>
      </c>
      <c r="H3" s="21" t="inlineStr">
        <is>
          <t>8/31</t>
        </is>
      </c>
      <c r="I3" s="21" t="inlineStr">
        <is>
          <t>未開始</t>
        </is>
      </c>
      <c r="J3" s="21" t="n">
        <v>0</v>
      </c>
      <c r="K3" s="22" t="inlineStr">
        <is>
          <t>審查會後第一優先</t>
        </is>
      </c>
    </row>
    <row r="4" ht="32" customHeight="1">
      <c r="A4" s="21" t="inlineStr">
        <is>
          <t>A1-3</t>
        </is>
      </c>
      <c r="B4" s="21" t="inlineStr">
        <is>
          <t>A1 約束層</t>
        </is>
      </c>
      <c r="C4" s="22" t="inlineStr">
        <is>
          <t>題庫補齊並實測</t>
        </is>
      </c>
      <c r="D4" s="22" t="inlineStr">
        <is>
          <t>現有 56 題全是情緒／危機題，須補約 20 題「純日常聊天」對照題——沒有對照題就算不出誤報率（承諾 ≤15%）</t>
        </is>
      </c>
      <c r="E4" s="23">
        <f>HYPERLINK("https://docs.google.com/document/d/1IEbrijbuGdnalrG7k24bxGGyF5k0wRd8ClMw-tIvIVc/edit","開測試題庫")</f>
        <v/>
      </c>
      <c r="F4" s="21" t="inlineStr">
        <is>
          <t>Edward＋蘇菲</t>
        </is>
      </c>
      <c r="G4" s="21" t="inlineStr">
        <is>
          <t>9/1</t>
        </is>
      </c>
      <c r="H4" s="21" t="inlineStr">
        <is>
          <t>9/3</t>
        </is>
      </c>
      <c r="I4" s="21" t="inlineStr">
        <is>
          <t>未開始</t>
        </is>
      </c>
      <c r="J4" s="21" t="n">
        <v>0</v>
      </c>
      <c r="K4" s="22" t="inlineStr">
        <is>
          <t>沒過的題修規則後複測</t>
        </is>
      </c>
    </row>
    <row r="5" ht="32" customHeight="1">
      <c r="A5" s="21" t="inlineStr">
        <is>
          <t>A1-4</t>
        </is>
      </c>
      <c r="B5" s="21" t="inlineStr">
        <is>
          <t>A1 約束層</t>
        </is>
      </c>
      <c r="C5" s="22" t="inlineStr">
        <is>
          <t>驗收紀錄成冊</t>
        </is>
      </c>
      <c r="D5" s="22" t="inlineStr">
        <is>
          <t>把上面三步整理成一份紀錄</t>
        </is>
      </c>
      <c r="E5" s="21" t="inlineStr"/>
      <c r="F5" s="21" t="inlineStr">
        <is>
          <t>蘇菲</t>
        </is>
      </c>
      <c r="G5" s="21" t="inlineStr">
        <is>
          <t>9/3</t>
        </is>
      </c>
      <c r="H5" s="21" t="inlineStr">
        <is>
          <t>9/5</t>
        </is>
      </c>
      <c r="I5" s="21" t="inlineStr">
        <is>
          <t>未開始</t>
        </is>
      </c>
      <c r="J5" s="21" t="n">
        <v>0</v>
      </c>
      <c r="K5" s="22" t="inlineStr"/>
    </row>
    <row r="6" ht="32" customHeight="1">
      <c r="A6" s="21" t="inlineStr">
        <is>
          <t>B1-1</t>
        </is>
      </c>
      <c r="B6" s="21" t="inlineStr">
        <is>
          <t>B1 iOS/UIUX</t>
        </is>
      </c>
      <c r="C6" s="22" t="inlineStr">
        <is>
          <t>前端管理介面第一版</t>
        </is>
      </c>
      <c r="D6" s="22" t="inlineStr">
        <is>
          <t>後台配套的管理畫面</t>
        </is>
      </c>
      <c r="E6" s="21" t="inlineStr"/>
      <c r="F6" s="21" t="inlineStr">
        <is>
          <t>Edward＋AI開發</t>
        </is>
      </c>
      <c r="G6" s="21" t="inlineStr">
        <is>
          <t>8/29</t>
        </is>
      </c>
      <c r="H6" s="21" t="inlineStr">
        <is>
          <t>9/4</t>
        </is>
      </c>
      <c r="I6" s="21" t="inlineStr">
        <is>
          <t>未開始</t>
        </is>
      </c>
      <c r="J6" s="21" t="n">
        <v>0</v>
      </c>
      <c r="K6" s="22" t="inlineStr">
        <is>
          <t>沿用後台元件、工作量小</t>
        </is>
      </c>
    </row>
    <row r="7" ht="32" customHeight="1">
      <c r="A7" s="21" t="inlineStr">
        <is>
          <t>B1-2</t>
        </is>
      </c>
      <c r="B7" s="21" t="inlineStr">
        <is>
          <t>B1 iOS/UIUX</t>
        </is>
      </c>
      <c r="C7" s="22" t="inlineStr">
        <is>
          <t>iOS＋UIUX 驗收紀錄</t>
        </is>
      </c>
      <c r="D7" s="22" t="inlineStr">
        <is>
          <t>功能清單加畫面對照整理成冊</t>
        </is>
      </c>
      <c r="E7" s="21" t="inlineStr"/>
      <c r="F7" s="21" t="inlineStr">
        <is>
          <t>蘇菲</t>
        </is>
      </c>
      <c r="G7" s="21" t="inlineStr">
        <is>
          <t>9/1</t>
        </is>
      </c>
      <c r="H7" s="21" t="inlineStr">
        <is>
          <t>9/5</t>
        </is>
      </c>
      <c r="I7" s="21" t="inlineStr">
        <is>
          <t>未開始</t>
        </is>
      </c>
      <c r="J7" s="21" t="n">
        <v>0</v>
      </c>
      <c r="K7" s="22" t="inlineStr">
        <is>
          <t>素材現成、整理即可</t>
        </is>
      </c>
    </row>
    <row r="8" ht="32" customHeight="1">
      <c r="A8" s="17" t="inlineStr">
        <is>
          <t>C1-1</t>
        </is>
      </c>
      <c r="B8" s="17" t="inlineStr">
        <is>
          <t>C1 營運後台</t>
        </is>
      </c>
      <c r="C8" s="18" t="inlineStr">
        <is>
          <t>開發需求單</t>
        </is>
      </c>
      <c r="D8" s="18" t="inlineStr">
        <is>
          <t>席次管理要做什麼的規格書</t>
        </is>
      </c>
      <c r="E8" s="19">
        <f>HYPERLINK("https://docs.google.com/document/d/153rUZt1wSLNhvlorqBY50i3de8ZCMKhh3XCy-GEqznI/edit","開需求單")</f>
        <v/>
      </c>
      <c r="F8" s="17" t="inlineStr">
        <is>
          <t>蘇菲</t>
        </is>
      </c>
      <c r="G8" s="17" t="inlineStr">
        <is>
          <t>8/7</t>
        </is>
      </c>
      <c r="H8" s="17" t="inlineStr">
        <is>
          <t>8/7</t>
        </is>
      </c>
      <c r="I8" s="17" t="inlineStr">
        <is>
          <t>完成</t>
        </is>
      </c>
      <c r="J8" s="20" t="n">
        <v>1</v>
      </c>
      <c r="K8" s="18" t="inlineStr">
        <is>
          <t>已上雲端</t>
        </is>
      </c>
    </row>
    <row r="9" ht="32" customHeight="1">
      <c r="A9" s="21" t="inlineStr">
        <is>
          <t>C1-2</t>
        </is>
      </c>
      <c r="B9" s="21" t="inlineStr">
        <is>
          <t>C1 營運後台</t>
        </is>
      </c>
      <c r="C9" s="22" t="inlineStr">
        <is>
          <t>開發：組織帳號＋席次開通</t>
        </is>
      </c>
      <c r="D9" s="22" t="inlineStr">
        <is>
          <t>企業建檔、幫長輩開通席次</t>
        </is>
      </c>
      <c r="E9" s="21" t="inlineStr"/>
      <c r="F9" s="21" t="inlineStr">
        <is>
          <t>Edward＋AI開發</t>
        </is>
      </c>
      <c r="G9" s="21" t="inlineStr">
        <is>
          <t>8/25</t>
        </is>
      </c>
      <c r="H9" s="21" t="inlineStr">
        <is>
          <t>8/31</t>
        </is>
      </c>
      <c r="I9" s="21" t="inlineStr">
        <is>
          <t>未開始</t>
        </is>
      </c>
      <c r="J9" s="21" t="n">
        <v>0</v>
      </c>
      <c r="K9" s="22" t="inlineStr">
        <is>
          <t>最大缺口、先做這個</t>
        </is>
      </c>
    </row>
    <row r="10" ht="32" customHeight="1">
      <c r="A10" s="21" t="inlineStr">
        <is>
          <t>C1-3</t>
        </is>
      </c>
      <c r="B10" s="21" t="inlineStr">
        <is>
          <t>C1 營運後台</t>
        </is>
      </c>
      <c r="C10" s="22" t="inlineStr">
        <is>
          <t>開發：報表＋月結＋權限</t>
        </is>
      </c>
      <c r="D10" s="22" t="inlineStr">
        <is>
          <t>企業看彙總報表、產月結單</t>
        </is>
      </c>
      <c r="E10" s="21" t="inlineStr"/>
      <c r="F10" s="21" t="inlineStr">
        <is>
          <t>Edward＋AI開發</t>
        </is>
      </c>
      <c r="G10" s="21" t="inlineStr">
        <is>
          <t>9/1</t>
        </is>
      </c>
      <c r="H10" s="21" t="inlineStr">
        <is>
          <t>9/4</t>
        </is>
      </c>
      <c r="I10" s="21" t="inlineStr">
        <is>
          <t>未開始</t>
        </is>
      </c>
      <c r="J10" s="21" t="n">
        <v>0</v>
      </c>
      <c r="K10" s="22" t="inlineStr"/>
    </row>
    <row r="11" ht="32" customHeight="1">
      <c r="A11" s="21" t="inlineStr">
        <is>
          <t>C1-4</t>
        </is>
      </c>
      <c r="B11" s="21" t="inlineStr">
        <is>
          <t>C1 營運後台</t>
        </is>
      </c>
      <c r="C11" s="22" t="inlineStr">
        <is>
          <t>驗收紀錄成冊</t>
        </is>
      </c>
      <c r="D11" s="22" t="inlineStr">
        <is>
          <t>功能截圖加測試紀錄</t>
        </is>
      </c>
      <c r="E11" s="21" t="inlineStr"/>
      <c r="F11" s="21" t="inlineStr">
        <is>
          <t>蘇菲</t>
        </is>
      </c>
      <c r="G11" s="21" t="inlineStr">
        <is>
          <t>9/3</t>
        </is>
      </c>
      <c r="H11" s="21" t="inlineStr">
        <is>
          <t>9/5</t>
        </is>
      </c>
      <c r="I11" s="21" t="inlineStr">
        <is>
          <t>未開始</t>
        </is>
      </c>
      <c r="J11" s="21" t="n">
        <v>0</v>
      </c>
      <c r="K11" s="22" t="inlineStr"/>
    </row>
    <row r="12" ht="32" customHeight="1">
      <c r="A12" s="24" t="inlineStr">
        <is>
          <t>D1-1</t>
        </is>
      </c>
      <c r="B12" s="24" t="inlineStr">
        <is>
          <t>D1 QA/檢測</t>
        </is>
      </c>
      <c r="C12" s="25" t="inlineStr">
        <is>
          <t>確認信寄出</t>
        </is>
      </c>
      <c r="D12" s="25" t="inlineStr">
        <is>
          <t>跟檢測公司確認送測範圍</t>
        </is>
      </c>
      <c r="E12" s="26">
        <f>HYPERLINK("https://docs.google.com/document/d/1hRxy5AA2BgJINMBRCOIFy2DojJGwkKm9QORtdbuFnVs/edit","開信件草稿")</f>
        <v/>
      </c>
      <c r="F12" s="24" t="inlineStr">
        <is>
          <t>Edward</t>
        </is>
      </c>
      <c r="G12" s="24" t="inlineStr">
        <is>
          <t>8/8</t>
        </is>
      </c>
      <c r="H12" s="24" t="inlineStr">
        <is>
          <t>8/29</t>
        </is>
      </c>
      <c r="I12" s="24" t="inlineStr">
        <is>
          <t>等Edward</t>
        </is>
      </c>
      <c r="J12" s="27" t="n">
        <v>0.6</v>
      </c>
      <c r="K12" s="25" t="inlineStr">
        <is>
          <t>草稿已備、填姓名即寄；早寄不費工、也不卡 10 月送測</t>
        </is>
      </c>
    </row>
    <row r="13" ht="32" customHeight="1">
      <c r="A13" s="21" t="inlineStr">
        <is>
          <t>D1-2</t>
        </is>
      </c>
      <c r="B13" s="21" t="inlineStr">
        <is>
          <t>D1 QA/檢測</t>
        </is>
      </c>
      <c r="C13" s="22" t="inlineStr">
        <is>
          <t>回覆歸檔</t>
        </is>
      </c>
      <c r="D13" s="22" t="inlineStr">
        <is>
          <t>對方回信存進資料夾</t>
        </is>
      </c>
      <c r="E13" s="21" t="inlineStr"/>
      <c r="F13" s="21" t="inlineStr">
        <is>
          <t>蘇菲</t>
        </is>
      </c>
      <c r="G13" s="21" t="inlineStr">
        <is>
          <t>9/1</t>
        </is>
      </c>
      <c r="H13" s="21" t="inlineStr">
        <is>
          <t>9/5</t>
        </is>
      </c>
      <c r="I13" s="21" t="inlineStr">
        <is>
          <t>未開始</t>
        </is>
      </c>
      <c r="J13" s="21" t="n">
        <v>0</v>
      </c>
      <c r="K13" s="22" t="inlineStr"/>
    </row>
    <row r="14" ht="32" customHeight="1">
      <c r="A14" s="21" t="inlineStr">
        <is>
          <t>D1-3</t>
        </is>
      </c>
      <c r="B14" s="21" t="inlineStr">
        <is>
          <t>D1 QA/檢測</t>
        </is>
      </c>
      <c r="C14" s="22" t="inlineStr">
        <is>
          <t>整合測試紀錄</t>
        </is>
      </c>
      <c r="D14" s="22" t="inlineStr">
        <is>
          <t>把既有測試整理成正式紀錄</t>
        </is>
      </c>
      <c r="E14" s="21" t="inlineStr"/>
      <c r="F14" s="21" t="inlineStr">
        <is>
          <t>蘇菲</t>
        </is>
      </c>
      <c r="G14" s="21" t="inlineStr">
        <is>
          <t>9/1</t>
        </is>
      </c>
      <c r="H14" s="21" t="inlineStr">
        <is>
          <t>9/5</t>
        </is>
      </c>
      <c r="I14" s="21" t="inlineStr">
        <is>
          <t>未開始</t>
        </is>
      </c>
      <c r="J14" s="21" t="n">
        <v>0</v>
      </c>
      <c r="K14" s="22" t="inlineStr">
        <is>
          <t>既有測試很厚、整理即可</t>
        </is>
      </c>
    </row>
    <row r="15" ht="32" customHeight="1">
      <c r="A15" s="17" t="inlineStr">
        <is>
          <t>E1-1</t>
        </is>
      </c>
      <c r="B15" s="17" t="inlineStr">
        <is>
          <t>E1 研究/場域</t>
        </is>
      </c>
      <c r="C15" s="18" t="inlineStr">
        <is>
          <t>研究報告 v1</t>
        </is>
      </c>
      <c r="D15" s="18" t="inlineStr">
        <is>
          <t>使用者研究正式報告</t>
        </is>
      </c>
      <c r="E15" s="19">
        <f>HYPERLINK("https://docs.google.com/document/d/1zJ2CeNgZezal4nHbX9X_RM7ssc8NRG4WRETXB2jjG6M/edit","開研究報告")</f>
        <v/>
      </c>
      <c r="F15" s="17" t="inlineStr">
        <is>
          <t>蘇菲</t>
        </is>
      </c>
      <c r="G15" s="17" t="inlineStr">
        <is>
          <t>8/7</t>
        </is>
      </c>
      <c r="H15" s="17" t="inlineStr">
        <is>
          <t>8/7</t>
        </is>
      </c>
      <c r="I15" s="17" t="inlineStr">
        <is>
          <t>完成</t>
        </is>
      </c>
      <c r="J15" s="20" t="n">
        <v>1</v>
      </c>
      <c r="K15" s="18" t="inlineStr">
        <is>
          <t>已上雲端</t>
        </is>
      </c>
    </row>
    <row r="16" ht="32" customHeight="1">
      <c r="A16" s="24" t="inlineStr">
        <is>
          <t>E1-2</t>
        </is>
      </c>
      <c r="B16" s="24" t="inlineStr">
        <is>
          <t>E1 研究/場域</t>
        </is>
      </c>
      <c r="C16" s="25" t="inlineStr">
        <is>
          <t>報告定稿</t>
        </is>
      </c>
      <c r="D16" s="25" t="inlineStr">
        <is>
          <t>Edward 過目點頭</t>
        </is>
      </c>
      <c r="E16" s="24" t="inlineStr"/>
      <c r="F16" s="24" t="inlineStr">
        <is>
          <t>Edward</t>
        </is>
      </c>
      <c r="G16" s="24" t="inlineStr">
        <is>
          <t>8/25</t>
        </is>
      </c>
      <c r="H16" s="24" t="inlineStr">
        <is>
          <t>8/29</t>
        </is>
      </c>
      <c r="I16" s="24" t="inlineStr">
        <is>
          <t>等Edward</t>
        </is>
      </c>
      <c r="J16" s="24" t="n">
        <v>0</v>
      </c>
      <c r="K16" s="25" t="inlineStr">
        <is>
          <t>過目即可</t>
        </is>
      </c>
    </row>
    <row r="17" ht="32" customHeight="1">
      <c r="A17" s="24" t="inlineStr">
        <is>
          <t>E1-3</t>
        </is>
      </c>
      <c r="B17" s="24" t="inlineStr">
        <is>
          <t>E1 研究/場域</t>
        </is>
      </c>
      <c r="C17" s="25" t="inlineStr">
        <is>
          <t>場域洽談</t>
        </is>
      </c>
      <c r="D17" s="25" t="inlineStr">
        <is>
          <t>跟健康中心或企業口頭談好 10 月來試辦（免簽約）</t>
        </is>
      </c>
      <c r="E17" s="24" t="inlineStr"/>
      <c r="F17" s="24" t="inlineStr">
        <is>
          <t>Edward</t>
        </is>
      </c>
      <c r="G17" s="24" t="inlineStr">
        <is>
          <t>8/25</t>
        </is>
      </c>
      <c r="H17" s="24" t="inlineStr">
        <is>
          <t>9/5</t>
        </is>
      </c>
      <c r="I17" s="24" t="inlineStr">
        <is>
          <t>等Edward</t>
        </is>
      </c>
      <c r="J17" s="24" t="n">
        <v>0</v>
      </c>
      <c r="K17" s="25" t="inlineStr">
        <is>
          <t>候選：青松／清福／佳醫</t>
        </is>
      </c>
    </row>
    <row r="18" ht="32" customHeight="1">
      <c r="A18" s="21" t="inlineStr">
        <is>
          <t>E1-4</t>
        </is>
      </c>
      <c r="B18" s="21" t="inlineStr">
        <is>
          <t>E1 研究/場域</t>
        </is>
      </c>
      <c r="C18" s="22" t="inlineStr">
        <is>
          <t>場域名單成冊</t>
        </is>
      </c>
      <c r="D18" s="22" t="inlineStr">
        <is>
          <t>確認名單加往來紀錄</t>
        </is>
      </c>
      <c r="E18" s="21" t="inlineStr"/>
      <c r="F18" s="21" t="inlineStr">
        <is>
          <t>蘇菲</t>
        </is>
      </c>
      <c r="G18" s="21" t="inlineStr">
        <is>
          <t>9/3</t>
        </is>
      </c>
      <c r="H18" s="21" t="inlineStr">
        <is>
          <t>9/5</t>
        </is>
      </c>
      <c r="I18" s="21" t="inlineStr">
        <is>
          <t>未開始</t>
        </is>
      </c>
      <c r="J18" s="21" t="n">
        <v>0</v>
      </c>
      <c r="K18" s="22" t="inlineStr"/>
    </row>
    <row r="19" ht="32" customHeight="1">
      <c r="A19" s="28" t="inlineStr">
        <is>
          <t>M-1</t>
        </is>
      </c>
      <c r="B19" s="28" t="inlineStr">
        <is>
          <t>里程碑</t>
        </is>
      </c>
      <c r="C19" s="29" t="inlineStr">
        <is>
          <t>審查會議</t>
        </is>
      </c>
      <c r="D19" s="29" t="inlineStr">
        <is>
          <t>當天 17:40 報到</t>
        </is>
      </c>
      <c r="E19" s="28" t="inlineStr"/>
      <c r="F19" s="28" t="inlineStr">
        <is>
          <t>Edward</t>
        </is>
      </c>
      <c r="G19" s="28" t="inlineStr">
        <is>
          <t>8/12</t>
        </is>
      </c>
      <c r="H19" s="28" t="inlineStr">
        <is>
          <t>8/12</t>
        </is>
      </c>
      <c r="I19" s="28" t="inlineStr">
        <is>
          <t>里程碑</t>
        </is>
      </c>
      <c r="J19" s="28" t="inlineStr"/>
      <c r="K19" s="29" t="inlineStr">
        <is>
          <t>承德路三段 287 號 C 棟</t>
        </is>
      </c>
    </row>
    <row r="20" ht="32" customHeight="1">
      <c r="A20" s="28" t="inlineStr">
        <is>
          <t>M-2</t>
        </is>
      </c>
      <c r="B20" s="28" t="inlineStr">
        <is>
          <t>里程碑</t>
        </is>
      </c>
      <c r="C20" s="29" t="inlineStr">
        <is>
          <t>五份驗收紀錄全部成冊</t>
        </is>
      </c>
      <c r="D20" s="29" t="inlineStr">
        <is>
          <t>內部完成線（8/7 Edward 拍板延後）</t>
        </is>
      </c>
      <c r="E20" s="28" t="inlineStr"/>
      <c r="F20" s="28" t="inlineStr">
        <is>
          <t>蘇菲</t>
        </is>
      </c>
      <c r="G20" s="28" t="inlineStr">
        <is>
          <t>9/5</t>
        </is>
      </c>
      <c r="H20" s="28" t="inlineStr">
        <is>
          <t>9/5</t>
        </is>
      </c>
      <c r="I20" s="28" t="inlineStr">
        <is>
          <t>里程碑</t>
        </is>
      </c>
      <c r="J20" s="28" t="inlineStr"/>
      <c r="K20" s="29" t="inlineStr">
        <is>
          <t>A1–E1 查核冊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16" customWidth="1" min="4" max="4"/>
    <col width="12" customWidth="1" min="5" max="5"/>
  </cols>
  <sheetData>
    <row r="1" ht="30" customHeight="1">
      <c r="A1" s="30" t="inlineStr">
        <is>
          <t>九月沒有查核點——這個月不用交東西給政府，是純衝刺月</t>
        </is>
      </c>
    </row>
    <row r="2" ht="26" customHeight="1">
      <c r="A2" s="31" t="inlineStr">
        <is>
          <t>但九月底累計進度要達 60%（計畫書寫的）。8/7 Edward 拍板：八月查核產出的內部完成線延到 8 月底～9/5——所以九月第一週先收齊五份查核冊，之後衝 A3 與十月鋪路。</t>
        </is>
      </c>
    </row>
    <row r="4" ht="24" customHeight="1">
      <c r="A4" s="16" t="inlineStr">
        <is>
          <t>項目</t>
        </is>
      </c>
      <c r="B4" s="16" t="inlineStr">
        <is>
          <t>在做什麼</t>
        </is>
      </c>
      <c r="C4" s="16" t="inlineStr">
        <is>
          <t>要達到什麼</t>
        </is>
      </c>
      <c r="D4" s="16" t="inlineStr">
        <is>
          <t>負責</t>
        </is>
      </c>
      <c r="E4" s="16" t="inlineStr">
        <is>
          <t>狀態</t>
        </is>
      </c>
    </row>
    <row r="5" ht="26" customHeight="1">
      <c r="A5" s="21" t="inlineStr">
        <is>
          <t>收冊週（9/1–9/5）</t>
        </is>
      </c>
      <c r="B5" s="22" t="inlineStr">
        <is>
          <t>A1／B1／C1／D1／E1 收尾</t>
        </is>
      </c>
      <c r="C5" s="22" t="inlineStr">
        <is>
          <t>五份查核冊 9/5 前全部成冊（8/7 拍板的新完成線）</t>
        </is>
      </c>
      <c r="D5" s="21" t="inlineStr">
        <is>
          <t>Edward＋蘇菲</t>
        </is>
      </c>
      <c r="E5" s="21" t="inlineStr">
        <is>
          <t>未開始</t>
        </is>
      </c>
    </row>
    <row r="6" ht="26" customHeight="1">
      <c r="A6" s="21" t="inlineStr">
        <is>
          <t>開發衝刺</t>
        </is>
      </c>
      <c r="B6" s="22" t="inlineStr">
        <is>
          <t>A3 記憶感知開工</t>
        </is>
      </c>
      <c r="C6" s="22" t="inlineStr">
        <is>
          <t>為十月查核點鋪路</t>
        </is>
      </c>
      <c r="D6" s="21" t="inlineStr">
        <is>
          <t>Edward＋AI開發</t>
        </is>
      </c>
      <c r="E6" s="21" t="inlineStr">
        <is>
          <t>未開始</t>
        </is>
      </c>
    </row>
    <row r="7" ht="26" customHeight="1">
      <c r="A7" s="21" t="inlineStr">
        <is>
          <t>資安程式（關鍵）</t>
        </is>
      </c>
      <c r="B7" s="22" t="inlineStr">
        <is>
          <t>健康資料欄位級加密（每租戶一把鑰匙、主鑰放雲端保險箱）＋後台角色權限與操作留痕</t>
        </is>
      </c>
      <c r="C7" s="22" t="inlineStr">
        <is>
          <t>9/30 前寫完——這是 10/15 送檢測的前提。資料隔離地基既有（57 張表已開隔離、45 條規則），這裡補的是計畫書承諾的加強版</t>
        </is>
      </c>
      <c r="D7" s="21" t="inlineStr">
        <is>
          <t>Edward＋AI開發</t>
        </is>
      </c>
      <c r="E7" s="21" t="inlineStr">
        <is>
          <t>未開始</t>
        </is>
      </c>
    </row>
    <row r="8" ht="26" customHeight="1">
      <c r="A8" s="21" t="inlineStr">
        <is>
          <t>進度自評</t>
        </is>
      </c>
      <c r="B8" s="22" t="inlineStr">
        <is>
          <t>九月底累計進度自評</t>
        </is>
      </c>
      <c r="C8" s="22" t="inlineStr">
        <is>
          <t>確認達 60%，沒到要提早說</t>
        </is>
      </c>
      <c r="D8" s="21" t="inlineStr">
        <is>
          <t>Edward＋蘇菲</t>
        </is>
      </c>
      <c r="E8" s="21" t="inlineStr">
        <is>
          <t>未開始</t>
        </is>
      </c>
    </row>
    <row r="9" ht="26" customHeight="1">
      <c r="A9" s="21" t="inlineStr">
        <is>
          <t>場域</t>
        </is>
      </c>
      <c r="B9" s="22" t="inlineStr">
        <is>
          <t>十月試辦的細節敲定</t>
        </is>
      </c>
      <c r="C9" s="22" t="inlineStr">
        <is>
          <t>時間、人數、怎麼帶長輩用</t>
        </is>
      </c>
      <c r="D9" s="21" t="inlineStr">
        <is>
          <t>Edward</t>
        </is>
      </c>
      <c r="E9" s="21" t="inlineStr">
        <is>
          <t>未開始</t>
        </is>
      </c>
    </row>
    <row r="10" ht="26" customHeight="1">
      <c r="A10" s="21" t="inlineStr">
        <is>
          <t>參展準備</t>
        </is>
      </c>
      <c r="B10" s="22" t="inlineStr">
        <is>
          <t>十月照顧博覽會備料</t>
        </is>
      </c>
      <c r="C10" s="22" t="inlineStr">
        <is>
          <t>攤位、展示機、文宣</t>
        </is>
      </c>
      <c r="D10" s="21" t="inlineStr">
        <is>
          <t>Edward</t>
        </is>
      </c>
      <c r="E10" s="21" t="inlineStr">
        <is>
          <t>未開始</t>
        </is>
      </c>
    </row>
    <row r="11" ht="26" customHeight="1">
      <c r="A11" s="21" t="inlineStr">
        <is>
          <t>財務</t>
        </is>
      </c>
      <c r="B11" s="22" t="inlineStr">
        <is>
          <t>每月工時冊與憑證</t>
        </is>
      </c>
      <c r="C11" s="22" t="inlineStr">
        <is>
          <t>月底收齊、不要拖</t>
        </is>
      </c>
      <c r="D11" s="21" t="inlineStr">
        <is>
          <t>財務(陳少喬)</t>
        </is>
      </c>
      <c r="E11" s="21" t="inlineStr">
        <is>
          <t>循環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4" customWidth="1" min="4" max="4"/>
    <col width="15" customWidth="1" min="5" max="5"/>
    <col width="10" customWidth="1" min="6" max="6"/>
    <col width="11" customWidth="1" min="7" max="7"/>
    <col width="36" customWidth="1" min="8" max="8"/>
  </cols>
  <sheetData>
    <row r="1" ht="24" customHeight="1">
      <c r="A1" s="16" t="inlineStr">
        <is>
          <t>編號</t>
        </is>
      </c>
      <c r="B1" s="16" t="inlineStr">
        <is>
          <t>類型</t>
        </is>
      </c>
      <c r="C1" s="16" t="inlineStr">
        <is>
          <t>工作項目</t>
        </is>
      </c>
      <c r="D1" s="16" t="inlineStr">
        <is>
          <t>要交什麼（白話）</t>
        </is>
      </c>
      <c r="E1" s="16" t="inlineStr">
        <is>
          <t>負責</t>
        </is>
      </c>
      <c r="F1" s="16" t="inlineStr">
        <is>
          <t>到期</t>
        </is>
      </c>
      <c r="G1" s="16" t="inlineStr">
        <is>
          <t>狀態</t>
        </is>
      </c>
      <c r="H1" s="16" t="inlineStr">
        <is>
          <t>核銷要留的證明</t>
        </is>
      </c>
    </row>
    <row r="2" ht="32" customHeight="1">
      <c r="A2" s="21" t="inlineStr">
        <is>
          <t>A3</t>
        </is>
      </c>
      <c r="B2" s="21" t="inlineStr">
        <is>
          <t>查核點(正式)</t>
        </is>
      </c>
      <c r="C2" s="22" t="inlineStr">
        <is>
          <t>記憶情境感知與安全守護 開發測試完成</t>
        </is>
      </c>
      <c r="D2" s="22" t="inlineStr">
        <is>
          <t>開發測試紀錄——十月唯一一個正式查核點</t>
        </is>
      </c>
      <c r="E2" s="21" t="inlineStr">
        <is>
          <t>Edward＋AI開發</t>
        </is>
      </c>
      <c r="F2" s="21" t="inlineStr">
        <is>
          <t>10/31</t>
        </is>
      </c>
      <c r="G2" s="21" t="inlineStr">
        <is>
          <t>未開始</t>
        </is>
      </c>
      <c r="H2" s="22" t="inlineStr">
        <is>
          <t>測試紀錄歸檔</t>
        </is>
      </c>
    </row>
    <row r="3" ht="32" customHeight="1">
      <c r="A3" s="21" t="inlineStr">
        <is>
          <t>T-1</t>
        </is>
      </c>
      <c r="B3" s="21" t="inlineStr">
        <is>
          <t>工作</t>
        </is>
      </c>
      <c r="C3" s="22" t="inlineStr">
        <is>
          <t>Android 版整合衝刺</t>
        </is>
      </c>
      <c r="D3" s="22" t="inlineStr">
        <is>
          <t>為十一月雙平台驗收做準備</t>
        </is>
      </c>
      <c r="E3" s="21" t="inlineStr">
        <is>
          <t>Edward＋AI開發</t>
        </is>
      </c>
      <c r="F3" s="21" t="inlineStr">
        <is>
          <t>10/31</t>
        </is>
      </c>
      <c r="G3" s="21" t="inlineStr">
        <is>
          <t>未開始</t>
        </is>
      </c>
      <c r="H3" s="22" t="inlineStr"/>
    </row>
    <row r="4" ht="32" customHeight="1">
      <c r="A4" s="21" t="inlineStr">
        <is>
          <t>T-2</t>
        </is>
      </c>
      <c r="B4" s="21" t="inlineStr">
        <is>
          <t>工作(關鍵)</t>
        </is>
      </c>
      <c r="C4" s="22" t="inlineStr">
        <is>
          <t>App 資安檢測送測</t>
        </is>
      </c>
      <c r="D4" s="22" t="inlineStr">
        <is>
          <t>把 App 交給檢測公司送檢——送測前資安程式必須完成（9 月那項）</t>
        </is>
      </c>
      <c r="E4" s="21" t="inlineStr">
        <is>
          <t>Edward</t>
        </is>
      </c>
      <c r="F4" s="21" t="inlineStr">
        <is>
          <t>10/15</t>
        </is>
      </c>
      <c r="G4" s="21" t="inlineStr">
        <is>
          <t>未開始</t>
        </is>
      </c>
      <c r="H4" s="22" t="inlineStr">
        <is>
          <t>送測文件與往來信件；測出問題要修、修完複測，時間要留</t>
        </is>
      </c>
    </row>
    <row r="5" ht="32" customHeight="1">
      <c r="A5" s="21" t="inlineStr">
        <is>
          <t>T-3</t>
        </is>
      </c>
      <c r="B5" s="21" t="inlineStr">
        <is>
          <t>工作</t>
        </is>
      </c>
      <c r="C5" s="22" t="inlineStr">
        <is>
          <t>場域試辦啟動</t>
        </is>
      </c>
      <c r="D5" s="22" t="inlineStr">
        <is>
          <t>八月談好的場域開始跑試辦</t>
        </is>
      </c>
      <c r="E5" s="21" t="inlineStr">
        <is>
          <t>Edward</t>
        </is>
      </c>
      <c r="F5" s="21" t="inlineStr">
        <is>
          <t>10/31</t>
        </is>
      </c>
      <c r="G5" s="21" t="inlineStr">
        <is>
          <t>未開始</t>
        </is>
      </c>
      <c r="H5" s="22" t="inlineStr">
        <is>
          <t>同意書、試辦紀錄</t>
        </is>
      </c>
    </row>
    <row r="6" ht="32" customHeight="1">
      <c r="A6" s="21" t="inlineStr">
        <is>
          <t>T-4</t>
        </is>
      </c>
      <c r="B6" s="21" t="inlineStr">
        <is>
          <t>推廣(要核銷)</t>
        </is>
      </c>
      <c r="C6" s="22" t="inlineStr">
        <is>
          <t>台北國際照顧博覽會參展</t>
        </is>
      </c>
      <c r="D6" s="22" t="inlineStr">
        <is>
          <t>實機展示、蒐集場域意向</t>
        </is>
      </c>
      <c r="E6" s="21" t="inlineStr">
        <is>
          <t>Edward</t>
        </is>
      </c>
      <c r="F6" s="21" t="inlineStr">
        <is>
          <t>10/1-3</t>
        </is>
      </c>
      <c r="G6" s="21" t="inlineStr">
        <is>
          <t>未開始</t>
        </is>
      </c>
      <c r="H6" s="22" t="inlineStr">
        <is>
          <t>攤位與佈置發票、現場照片、意向清單——推廣費靠這包核銷</t>
        </is>
      </c>
    </row>
    <row r="7" ht="32" customHeight="1">
      <c r="A7" s="21" t="inlineStr">
        <is>
          <t>T-5</t>
        </is>
      </c>
      <c r="B7" s="21" t="inlineStr">
        <is>
          <t>財務</t>
        </is>
      </c>
      <c r="C7" s="22" t="inlineStr">
        <is>
          <t>9-10 月工時冊與憑證</t>
        </is>
      </c>
      <c r="D7" s="22" t="inlineStr">
        <is>
          <t>月底收齊</t>
        </is>
      </c>
      <c r="E7" s="21" t="inlineStr">
        <is>
          <t>財務(陳少喬)</t>
        </is>
      </c>
      <c r="F7" s="21" t="inlineStr">
        <is>
          <t>每月底</t>
        </is>
      </c>
      <c r="G7" s="21" t="inlineStr">
        <is>
          <t>循環</t>
        </is>
      </c>
      <c r="H7" s="22" t="inlineStr">
        <is>
          <t>工時紀錄加雲端與 AI 工具帳單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16" customWidth="1" min="4" max="4"/>
    <col width="10" customWidth="1" min="5" max="5"/>
    <col width="11" customWidth="1" min="6" max="6"/>
    <col width="32" customWidth="1" min="7" max="7"/>
  </cols>
  <sheetData>
    <row r="1" ht="24" customHeight="1">
      <c r="A1" s="16" t="inlineStr">
        <is>
          <t>編號</t>
        </is>
      </c>
      <c r="B1" s="16" t="inlineStr">
        <is>
          <t>查核點</t>
        </is>
      </c>
      <c r="C1" s="16" t="inlineStr">
        <is>
          <t>要交什麼（白話）</t>
        </is>
      </c>
      <c r="D1" s="16" t="inlineStr">
        <is>
          <t>負責</t>
        </is>
      </c>
      <c r="E1" s="16" t="inlineStr">
        <is>
          <t>到期</t>
        </is>
      </c>
      <c r="F1" s="16" t="inlineStr">
        <is>
          <t>狀態</t>
        </is>
      </c>
      <c r="G1" s="16" t="inlineStr">
        <is>
          <t>備註</t>
        </is>
      </c>
    </row>
    <row r="2" ht="32" customHeight="1">
      <c r="A2" s="21" t="inlineStr">
        <is>
          <t>A2</t>
        </is>
      </c>
      <c r="B2" s="21" t="inlineStr">
        <is>
          <t>心理支持約束層上線</t>
        </is>
      </c>
      <c r="C2" s="22" t="inlineStr">
        <is>
          <t>約束層正式上線，加上對話品質測試報告</t>
        </is>
      </c>
      <c r="D2" s="21" t="inlineStr">
        <is>
          <t>Edward＋蘇菲</t>
        </is>
      </c>
      <c r="E2" s="21" t="inlineStr">
        <is>
          <t>11/16</t>
        </is>
      </c>
      <c r="F2" s="21" t="inlineStr">
        <is>
          <t>未開始</t>
        </is>
      </c>
      <c r="G2" s="22" t="inlineStr">
        <is>
          <t>含醫療紅線 100%、召回率、誤報率門檻</t>
        </is>
      </c>
    </row>
    <row r="3" ht="32" customHeight="1">
      <c r="A3" s="21" t="inlineStr">
        <is>
          <t>A4</t>
        </is>
      </c>
      <c r="B3" s="21" t="inlineStr">
        <is>
          <t>記憶感知與安全深化驗收</t>
        </is>
      </c>
      <c r="C3" s="22" t="inlineStr">
        <is>
          <t>深化功能驗收報告</t>
        </is>
      </c>
      <c r="D3" s="21" t="inlineStr">
        <is>
          <t>Edward＋蘇菲</t>
        </is>
      </c>
      <c r="E3" s="21" t="inlineStr">
        <is>
          <t>11/16</t>
        </is>
      </c>
      <c r="F3" s="21" t="inlineStr">
        <is>
          <t>未開始</t>
        </is>
      </c>
      <c r="G3" s="22" t="inlineStr"/>
    </row>
    <row r="4" ht="32" customHeight="1">
      <c r="A4" s="21" t="inlineStr">
        <is>
          <t>B2</t>
        </is>
      </c>
      <c r="B4" s="21" t="inlineStr">
        <is>
          <t>雙平台功能驗收</t>
        </is>
      </c>
      <c r="C4" s="22" t="inlineStr">
        <is>
          <t>Android 加 iOS 優化與前端介面通過驗收</t>
        </is>
      </c>
      <c r="D4" s="21" t="inlineStr">
        <is>
          <t>Edward＋AI開發</t>
        </is>
      </c>
      <c r="E4" s="21" t="inlineStr">
        <is>
          <t>11/16</t>
        </is>
      </c>
      <c r="F4" s="21" t="inlineStr">
        <is>
          <t>未開始</t>
        </is>
      </c>
      <c r="G4" s="22" t="inlineStr">
        <is>
          <t>含語音回應速度門檻</t>
        </is>
      </c>
    </row>
    <row r="5" ht="32" customHeight="1">
      <c r="A5" s="21" t="inlineStr">
        <is>
          <t>C2</t>
        </is>
      </c>
      <c r="B5" s="21" t="inlineStr">
        <is>
          <t>營運後台上線</t>
        </is>
      </c>
      <c r="C5" s="22" t="inlineStr">
        <is>
          <t>席次管理與關懷報告兩個模組上線驗收</t>
        </is>
      </c>
      <c r="D5" s="21" t="inlineStr">
        <is>
          <t>Edward＋AI開發</t>
        </is>
      </c>
      <c r="E5" s="21" t="inlineStr">
        <is>
          <t>11/16</t>
        </is>
      </c>
      <c r="F5" s="21" t="inlineStr">
        <is>
          <t>未開始</t>
        </is>
      </c>
      <c r="G5" s="22" t="inlineStr">
        <is>
          <t>含異常通知準確率門檻</t>
        </is>
      </c>
    </row>
    <row r="6" ht="32" customHeight="1">
      <c r="A6" s="21" t="inlineStr">
        <is>
          <t>D2</t>
        </is>
      </c>
      <c r="B6" s="21" t="inlineStr">
        <is>
          <t>資安檢測通過</t>
        </is>
      </c>
      <c r="C6" s="22" t="inlineStr">
        <is>
          <t>檢測通過證明，加修補後的複測報告</t>
        </is>
      </c>
      <c r="D6" s="21" t="inlineStr">
        <is>
          <t>檢測公司＋Edward</t>
        </is>
      </c>
      <c r="E6" s="21" t="inlineStr">
        <is>
          <t>11/16</t>
        </is>
      </c>
      <c r="F6" s="21" t="inlineStr">
        <is>
          <t>未開始</t>
        </is>
      </c>
      <c r="G6" s="22" t="inlineStr">
        <is>
          <t>檢測等級要明載；帳號隔離與越權防護等程式碼工作就是靠這關驗收（10/15 前要送測）</t>
        </is>
      </c>
    </row>
    <row r="7" ht="32" customHeight="1">
      <c r="A7" s="21" t="inlineStr">
        <is>
          <t>E2</t>
        </is>
      </c>
      <c r="B7" s="21" t="inlineStr">
        <is>
          <t>場域試辦成效</t>
        </is>
      </c>
      <c r="C7" s="22" t="inlineStr">
        <is>
          <t>試辦成效報告，加 2-3 家付費導入意向書</t>
        </is>
      </c>
      <c r="D7" s="21" t="inlineStr">
        <is>
          <t>Edward</t>
        </is>
      </c>
      <c r="E7" s="21" t="inlineStr">
        <is>
          <t>11/16</t>
        </is>
      </c>
      <c r="F7" s="21" t="inlineStr">
        <is>
          <t>未開始</t>
        </is>
      </c>
      <c r="G7" s="22" t="inlineStr">
        <is>
          <t>含長者操作完成率門檻</t>
        </is>
      </c>
    </row>
    <row r="8" ht="32" customHeight="1">
      <c r="A8" s="21" t="inlineStr">
        <is>
          <t>S</t>
        </is>
      </c>
      <c r="B8" s="21" t="inlineStr">
        <is>
          <t>結案報告</t>
        </is>
      </c>
      <c r="C8" s="22" t="inlineStr">
        <is>
          <t>全程結案報告（含六項門檻的測試統計）</t>
        </is>
      </c>
      <c r="D8" s="21" t="inlineStr">
        <is>
          <t>蘇菲＋Edward</t>
        </is>
      </c>
      <c r="E8" s="21" t="inlineStr">
        <is>
          <t>11/16</t>
        </is>
      </c>
      <c r="F8" s="21" t="inlineStr">
        <is>
          <t>未開始</t>
        </is>
      </c>
      <c r="G8" s="22" t="inlineStr"/>
    </row>
    <row r="9" ht="32" customHeight="1">
      <c r="A9" s="21" t="inlineStr">
        <is>
          <t>F-1</t>
        </is>
      </c>
      <c r="B9" s="21" t="inlineStr">
        <is>
          <t>財務結案</t>
        </is>
      </c>
      <c r="C9" s="22" t="inlineStr">
        <is>
          <t>工時冊全程收齊、憑證整理、經費核銷表</t>
        </is>
      </c>
      <c r="D9" s="21" t="inlineStr">
        <is>
          <t>財務(陳少喬)</t>
        </is>
      </c>
      <c r="E9" s="21" t="inlineStr">
        <is>
          <t>11/16</t>
        </is>
      </c>
      <c r="F9" s="21" t="inlineStr">
        <is>
          <t>未開始</t>
        </is>
      </c>
      <c r="G9" s="22" t="inlineStr">
        <is>
          <t>三種帳（工時／憑證／產出）要齊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18" customWidth="1" min="4" max="4"/>
  </cols>
  <sheetData>
    <row r="1" ht="24" customHeight="1">
      <c r="A1" s="16" t="inlineStr">
        <is>
          <t>查核點</t>
        </is>
      </c>
      <c r="B1" s="16" t="inlineStr">
        <is>
          <t>文件（雲端資料夾裡的檔名）</t>
        </is>
      </c>
      <c r="C1" s="16" t="inlineStr">
        <is>
          <t>點我開啟</t>
        </is>
      </c>
      <c r="D1" s="16" t="inlineStr">
        <is>
          <t>狀態</t>
        </is>
      </c>
    </row>
    <row r="2" ht="24" customHeight="1">
      <c r="A2" s="32" t="inlineStr">
        <is>
          <t>—</t>
        </is>
      </c>
      <c r="B2" s="33" t="inlineStr">
        <is>
          <t>雲端資料夾（所有文件的家）</t>
        </is>
      </c>
      <c r="C2" s="34">
        <f>HYPERLINK("https://drive.google.com/drive/folders/19LtbvxZevGZMAn2tfsitYrSUTNeaWZbs","開資料夾")</f>
        <v/>
      </c>
      <c r="D2" s="32" t="inlineStr">
        <is>
          <t>—</t>
        </is>
      </c>
    </row>
    <row r="3" ht="24" customHeight="1">
      <c r="A3" s="32" t="inlineStr">
        <is>
          <t>A1</t>
        </is>
      </c>
      <c r="B3" s="33" t="inlineStr">
        <is>
          <t>01-八月查核／A1-心理支持約束層規則-v1</t>
        </is>
      </c>
      <c r="C3" s="34">
        <f>HYPERLINK("https://docs.google.com/document/d/1c_vn5R_DQWfhWll7ud0_lY5fF6toifai8_yH8qVYeGo/edit","開文件")</f>
        <v/>
      </c>
      <c r="D3" s="32" t="inlineStr">
        <is>
          <t>初版完成</t>
        </is>
      </c>
    </row>
    <row r="4" ht="24" customHeight="1">
      <c r="A4" s="32" t="inlineStr">
        <is>
          <t>A1</t>
        </is>
      </c>
      <c r="B4" s="33" t="inlineStr">
        <is>
          <t>01-八月查核／A1-對話測試題庫-v1（56 題）</t>
        </is>
      </c>
      <c r="C4" s="34">
        <f>HYPERLINK("https://docs.google.com/document/d/1IEbrijbuGdnalrG7k24bxGGyF5k0wRd8ClMw-tIvIVc/edit","開文件")</f>
        <v/>
      </c>
      <c r="D4" s="32" t="inlineStr">
        <is>
          <t>初版完成</t>
        </is>
      </c>
    </row>
    <row r="5" ht="24" customHeight="1">
      <c r="A5" s="32" t="inlineStr">
        <is>
          <t>C1</t>
        </is>
      </c>
      <c r="B5" s="33" t="inlineStr">
        <is>
          <t>01-八月查核／C1-席次管理開發需求單-v1</t>
        </is>
      </c>
      <c r="C5" s="34">
        <f>HYPERLINK("https://docs.google.com/document/d/153rUZt1wSLNhvlorqBY50i3de8ZCMKhh3XCy-GEqznI/edit","開文件")</f>
        <v/>
      </c>
      <c r="D5" s="32" t="inlineStr">
        <is>
          <t>初版完成</t>
        </is>
      </c>
    </row>
    <row r="6" ht="24" customHeight="1">
      <c r="A6" s="32" t="inlineStr">
        <is>
          <t>D1</t>
        </is>
      </c>
      <c r="B6" s="33" t="inlineStr">
        <is>
          <t>01-八月查核／D1-愛台灣送測範圍確認信-草稿</t>
        </is>
      </c>
      <c r="C6" s="34">
        <f>HYPERLINK("https://docs.google.com/document/d/1hRxy5AA2BgJINMBRCOIFy2DojJGwkKm9QORtdbuFnVs/edit","開文件")</f>
        <v/>
      </c>
      <c r="D6" s="32" t="inlineStr">
        <is>
          <t>等 Edward 寄出</t>
        </is>
      </c>
    </row>
    <row r="7" ht="24" customHeight="1">
      <c r="A7" s="32" t="inlineStr">
        <is>
          <t>E1</t>
        </is>
      </c>
      <c r="B7" s="33" t="inlineStr">
        <is>
          <t>01-八月查核／E1-使用者研究報告-v1</t>
        </is>
      </c>
      <c r="C7" s="34">
        <f>HYPERLINK("https://docs.google.com/document/d/1zJ2CeNgZezal4nHbX9X_RM7ssc8NRG4WRETXB2jjG6M/edit","開文件")</f>
        <v/>
      </c>
      <c r="D7" s="32" t="inlineStr">
        <is>
          <t>初版完成</t>
        </is>
      </c>
    </row>
    <row r="8" ht="24" customHeight="1">
      <c r="A8" s="32" t="inlineStr">
        <is>
          <t>合約</t>
        </is>
      </c>
      <c r="B8" s="33" t="inlineStr">
        <is>
          <t>05-意向書與合約／01-已簽署／愛台灣資安檢測 MOU（已用印）</t>
        </is>
      </c>
      <c r="C8" s="32" t="inlineStr"/>
      <c r="D8" s="32" t="inlineStr">
        <is>
          <t>已簽署</t>
        </is>
      </c>
    </row>
    <row r="9" ht="24" customHeight="1">
      <c r="A9" s="32" t="inlineStr">
        <is>
          <t>合約</t>
        </is>
      </c>
      <c r="B9" s="33" t="inlineStr">
        <is>
          <t>05-意向書與合約／03-範本／場域意向書範本（可轉發）</t>
        </is>
      </c>
      <c r="C9" s="32" t="inlineStr"/>
      <c r="D9" s="32" t="inlineStr">
        <is>
          <t>可用</t>
        </is>
      </c>
    </row>
    <row r="10" ht="24" customHeight="1">
      <c r="A10" s="32" t="inlineStr">
        <is>
          <t>官方</t>
        </is>
      </c>
      <c r="B10" s="33" t="inlineStr">
        <is>
          <t>07-計畫書與官方文件／計畫書 v10（送審定稿）</t>
        </is>
      </c>
      <c r="C10" s="32" t="inlineStr"/>
      <c r="D10" s="32" t="inlineStr">
        <is>
          <t>定稿</t>
        </is>
      </c>
    </row>
    <row r="11" ht="24" customHeight="1">
      <c r="A11" s="32" t="inlineStr">
        <is>
          <t>—</t>
        </is>
      </c>
      <c r="B11" s="33" t="inlineStr">
        <is>
          <t>審查簡報 0806G（PDF，已另外傳給 Edward）</t>
        </is>
      </c>
      <c r="C11" s="32" t="inlineStr"/>
      <c r="D11" s="32" t="inlineStr">
        <is>
          <t>定稿等 Edward 點頭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34" customWidth="1" min="3" max="3"/>
  </cols>
  <sheetData>
    <row r="1" ht="28" customHeight="1">
      <c r="A1" s="30" t="inlineStr">
        <is>
          <t>雲端資料夾怎麼分、檔名怎麼取</t>
        </is>
      </c>
    </row>
    <row r="2" ht="30" customHeight="1">
      <c r="A2" s="31" t="inlineStr">
        <is>
          <t>規則只有兩條：① 東西放進對的資料夾 ② 檔名照「編號-月份或類別-查核點-內容-版本」取。照做，結案時整包交出去就不會亂。</t>
        </is>
      </c>
    </row>
    <row r="4" ht="24" customHeight="1">
      <c r="A4" s="16" t="inlineStr">
        <is>
          <t>資料夾</t>
        </is>
      </c>
      <c r="B4" s="16" t="inlineStr">
        <is>
          <t>放什麼進去</t>
        </is>
      </c>
      <c r="C4" s="16" t="inlineStr">
        <is>
          <t>檔名範例</t>
        </is>
      </c>
    </row>
    <row r="5" ht="32" customHeight="1">
      <c r="A5" s="35" t="inlineStr">
        <is>
          <t>00-【先看這份】驗收總進度表.xlsx</t>
        </is>
      </c>
      <c r="B5" s="33" t="inlineStr">
        <is>
          <t>就是這份表本身。所有人先開這份。</t>
        </is>
      </c>
      <c r="C5" s="32" t="inlineStr">
        <is>
          <t>—</t>
        </is>
      </c>
    </row>
    <row r="6" ht="32" customHeight="1">
      <c r="A6" s="35" t="inlineStr">
        <is>
          <t>01-八月查核（A1~E1）</t>
        </is>
      </c>
      <c r="B6" s="33" t="inlineStr">
        <is>
          <t>八月五個查核點的所有產出：規則書、題庫、需求單、送測信、研究報告、驗收紀錄。</t>
        </is>
      </c>
      <c r="C6" s="32" t="inlineStr">
        <is>
          <t>01-8月-A1-對話測試題庫-v1</t>
        </is>
      </c>
    </row>
    <row r="7" ht="32" customHeight="1">
      <c r="A7" s="35" t="inlineStr">
        <is>
          <t>02-九月衝刺（無查核點）</t>
        </is>
      </c>
      <c r="B7" s="33" t="inlineStr">
        <is>
          <t>九月沒有要交的東西。開發過程紀錄、九月底進度自評放這裡。</t>
        </is>
      </c>
      <c r="C7" s="32" t="inlineStr">
        <is>
          <t>02-9月-進度自評-0930</t>
        </is>
      </c>
    </row>
    <row r="8" ht="32" customHeight="1">
      <c r="A8" s="35" t="inlineStr">
        <is>
          <t>03-十月查核與參展</t>
        </is>
      </c>
      <c r="B8" s="33" t="inlineStr">
        <is>
          <t>十月查核點 A3 的測試紀錄；照顧博覽會的照片、意向清單、攤位發票。</t>
        </is>
      </c>
      <c r="C8" s="32" t="inlineStr">
        <is>
          <t>03-10月-參展-現場照片-1001</t>
        </is>
      </c>
    </row>
    <row r="9" ht="32" customHeight="1">
      <c r="A9" s="35" t="inlineStr">
        <is>
          <t>04-十一月結案驗收</t>
        </is>
      </c>
      <c r="B9" s="33" t="inlineStr">
        <is>
          <t>結案六項查核的驗收報告、測試統計、結案報告。</t>
        </is>
      </c>
      <c r="C9" s="32" t="inlineStr">
        <is>
          <t>04-11月-S-結案報告-v1</t>
        </is>
      </c>
    </row>
    <row r="10" ht="32" customHeight="1">
      <c r="A10" s="35" t="inlineStr">
        <is>
          <t>05-意向書與合約</t>
        </is>
      </c>
      <c r="B10" s="33" t="inlineStr">
        <is>
          <t>所有對外簽的東西。裡面再分三格 ↓</t>
        </is>
      </c>
      <c r="C10" s="32" t="inlineStr">
        <is>
          <t>—</t>
        </is>
      </c>
    </row>
    <row r="11" ht="32" customHeight="1">
      <c r="A11" s="36" t="inlineStr">
        <is>
          <t xml:space="preserve">　└ 01-已簽署</t>
        </is>
      </c>
      <c r="B11" s="33" t="inlineStr">
        <is>
          <t>已經雙方用印或簽名的：檢測 MOU、場域合作、付費導入意向書。</t>
        </is>
      </c>
      <c r="C11" s="32" t="inlineStr">
        <is>
          <t>05-已簽署-愛台灣資安MOU-用印完成</t>
        </is>
      </c>
    </row>
    <row r="12" ht="32" customHeight="1">
      <c r="A12" s="36" t="inlineStr">
        <is>
          <t xml:space="preserve">　└ 02-洽談中</t>
        </is>
      </c>
      <c r="B12" s="33" t="inlineStr">
        <is>
          <t>還在談的草稿、往來信件、對方回覆。談成了就搬到「01-已簽署」。</t>
        </is>
      </c>
      <c r="C12" s="32" t="inlineStr">
        <is>
          <t>05-洽談中-青松健康-意向書草稿</t>
        </is>
      </c>
    </row>
    <row r="13" ht="32" customHeight="1">
      <c r="A13" s="36" t="inlineStr">
        <is>
          <t xml:space="preserve">　└ 03-範本</t>
        </is>
      </c>
      <c r="B13" s="33" t="inlineStr">
        <is>
          <t>可以直接轉發給對方的空白範本。</t>
        </is>
      </c>
      <c r="C13" s="32" t="inlineStr">
        <is>
          <t>05-範本-場域意向書</t>
        </is>
      </c>
    </row>
    <row r="14" ht="32" customHeight="1">
      <c r="A14" s="35" t="inlineStr">
        <is>
          <t>06-核銷憑證</t>
        </is>
      </c>
      <c r="B14" s="33" t="inlineStr">
        <is>
          <t>請款要用的證據。裡面再分三格 ↓</t>
        </is>
      </c>
      <c r="C14" s="32" t="inlineStr">
        <is>
          <t>—</t>
        </is>
      </c>
    </row>
    <row r="15" ht="32" customHeight="1">
      <c r="A15" s="36" t="inlineStr">
        <is>
          <t xml:space="preserve">　└ 01-工時紀錄</t>
        </is>
      </c>
      <c r="B15" s="33" t="inlineStr">
        <is>
          <t>每月每人投入工時表。人事費核銷全靠這個，缺一個月就麻煩。</t>
        </is>
      </c>
      <c r="C15" s="32" t="inlineStr">
        <is>
          <t>06-工時-2026-08</t>
        </is>
      </c>
    </row>
    <row r="16" ht="32" customHeight="1">
      <c r="A16" s="36" t="inlineStr">
        <is>
          <t xml:space="preserve">　└ 02-發票與帳單</t>
        </is>
      </c>
      <c r="B16" s="33" t="inlineStr">
        <is>
          <t>雲端與 AI 工具帳單、檢測費發票、參展與廣告發票。抬頭統編一律開公司。</t>
        </is>
      </c>
      <c r="C16" s="32" t="inlineStr">
        <is>
          <t>06-發票-雲端費用-2026-08</t>
        </is>
      </c>
    </row>
    <row r="17" ht="32" customHeight="1">
      <c r="A17" s="36" t="inlineStr">
        <is>
          <t xml:space="preserve">　└ 03-薪資與勞保</t>
        </is>
      </c>
      <c r="B17" s="33" t="inlineStr">
        <is>
          <t>薪資清冊、勞保投保紀錄，配合工時表一起看。</t>
        </is>
      </c>
      <c r="C17" s="32" t="inlineStr">
        <is>
          <t>06-薪資清冊-2026-08</t>
        </is>
      </c>
    </row>
    <row r="18" ht="32" customHeight="1">
      <c r="A18" s="35" t="inlineStr">
        <is>
          <t>07-計畫書與官方文件</t>
        </is>
      </c>
      <c r="B18" s="33" t="inlineStr">
        <is>
          <t>計畫書定稿、官方來函、審查意見、審查簡報。</t>
        </is>
      </c>
      <c r="C18" s="32" t="inlineStr">
        <is>
          <t>07-計畫書-v10-送審定稿</t>
        </is>
      </c>
    </row>
    <row r="19" ht="32" customHeight="1">
      <c r="A19" s="35" t="inlineStr">
        <is>
          <t>99-舊版封存</t>
        </is>
      </c>
      <c r="B19" s="33" t="inlineStr">
        <is>
          <t>被新版取代的舊檔。不刪掉但也不要再打開用。</t>
        </is>
      </c>
      <c r="C19" s="32" t="inlineStr">
        <is>
          <t>99-舊版-8月查核進度表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2026-08-10T02:32:03Z</dcterms:created>
  <dcterms:modified xmlns:dcterms="http://purl.org/dc/terms/" xmlns:xsi="http://www.w3.org/2001/XMLSchema-instance" xsi:type="dcterms:W3CDTF">2026-08-10T02:32:03Z</dcterms:modified>
</cp:coreProperties>
</file>