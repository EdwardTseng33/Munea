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與核銷說明" sheetId="1" state="visible" r:id="rId1"/>
    <sheet xmlns:r="http://schemas.openxmlformats.org/officeDocument/2006/relationships" name="8月-階段查核" sheetId="2" state="visible" r:id="rId2"/>
    <sheet xmlns:r="http://schemas.openxmlformats.org/officeDocument/2006/relationships" name="10月-查核與參展" sheetId="3" state="visible" r:id="rId3"/>
    <sheet xmlns:r="http://schemas.openxmlformats.org/officeDocument/2006/relationships" name="11月-結案驗收" sheetId="4" state="visible" r:id="rId4"/>
    <sheet xmlns:r="http://schemas.openxmlformats.org/officeDocument/2006/relationships" name="交付文件連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155CC"/>
      <u val="single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3403D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項目</t>
        </is>
      </c>
      <c r="B1" s="1" t="inlineStr">
        <is>
          <t>白話說明</t>
        </is>
      </c>
    </row>
    <row r="2" ht="34" customHeight="1">
      <c r="A2" s="2" t="inlineStr">
        <is>
          <t>這份表是什麼</t>
        </is>
      </c>
      <c r="B2" s="3" t="inlineStr">
        <is>
          <t>政府補助案（數位產業署 115 年 AI 創新服務研發補助）的驗收與核銷追蹤入口。三個月各有一批「查核點」要交東西：8 月 5 個階段查核、10 月 1 個、11 月 6 個＋結案。每個月一個分頁，照表做、做完改狀態。</t>
        </is>
      </c>
    </row>
    <row r="3" ht="20" customHeight="1">
      <c r="A3" s="2" t="inlineStr">
        <is>
          <t>文件都放在哪</t>
        </is>
      </c>
      <c r="B3" s="3" t="inlineStr">
        <is>
          <t>所有驗收文件放在同一個雲端資料夾（下一列連結），表裡每一項也附了直接連結，點了就開。</t>
        </is>
      </c>
    </row>
    <row r="4" ht="34" customHeight="1">
      <c r="A4" s="2" t="inlineStr">
        <is>
          <t>雲端資料夾</t>
        </is>
      </c>
      <c r="B4" s="4">
        <f>HYPERLINK("https://drive.google.com/drive/folders/19LtbvxZevGZMAn2tfsitYrSUTNeaWZbs","Munea補助案-查核與核銷（點我開資料夾）")</f>
        <v/>
      </c>
    </row>
    <row r="5" ht="20" customHeight="1">
      <c r="A5" s="2" t="inlineStr"/>
      <c r="B5" s="3" t="inlineStr"/>
    </row>
    <row r="6" ht="20" customHeight="1">
      <c r="A6" s="2" t="inlineStr">
        <is>
          <t>核銷白話說明</t>
        </is>
      </c>
      <c r="B6" s="3" t="inlineStr">
        <is>
          <t>政府補助的錢要「憑證據請款」。整個計畫要留三種帳，缺一不可：</t>
        </is>
      </c>
    </row>
    <row r="7" ht="34" customHeight="1">
      <c r="A7" s="2" t="inlineStr">
        <is>
          <t>帳一：工時紀錄</t>
        </is>
      </c>
      <c r="B7" s="3" t="inlineStr">
        <is>
          <t>人事費靠這個核銷——每位參與計畫的同仁每月要有投入工時紀錄（誰、哪個分項、幾小時），配合薪資清冊與勞保紀錄。財務每月底收齊一次。</t>
        </is>
      </c>
    </row>
    <row r="8" ht="34" customHeight="1">
      <c r="A8" s="2" t="inlineStr">
        <is>
          <t>帳二：發票與憑證</t>
        </is>
      </c>
      <c r="B8" s="3" t="inlineStr">
        <is>
          <t>設備使用費（雲端與 AI 工具帳單）、驗證費（愛台灣檢測 20 萬發票）、推廣費（參展與廣告發票、參展照片與成果）——發生一筆留一筆，抬頭統編開公司。</t>
        </is>
      </c>
    </row>
    <row r="9" ht="20" customHeight="1">
      <c r="A9" s="2" t="inlineStr">
        <is>
          <t>帳三：查核產出文件</t>
        </is>
      </c>
      <c r="B9" s="3" t="inlineStr">
        <is>
          <t>結案審查看的東西——每個查核點的報告、測試紀錄、截圖、往來信件。本表每項寫了「要交什麼」，做完的文件放雲端資料夾。</t>
        </is>
      </c>
    </row>
    <row r="10" ht="20" customHeight="1">
      <c r="A10" s="2" t="inlineStr"/>
      <c r="B10" s="3" t="inlineStr"/>
    </row>
    <row r="11" ht="34" customHeight="1">
      <c r="A11" s="2" t="inlineStr">
        <is>
          <t>負責人代號</t>
        </is>
      </c>
      <c r="B11" s="3" t="inlineStr">
        <is>
          <t>Edward＝計畫主持人曾宇晞；蘇菲＝AI 助理（文件整理與產出）；Edward＋AI開發＝產品開發；財務＝陳少喬（工時冊與憑證歸檔）。</t>
        </is>
      </c>
    </row>
    <row r="12" ht="34" customHeight="1">
      <c r="A12" s="2" t="inlineStr">
        <is>
          <t>重要日期</t>
        </is>
      </c>
      <c r="B12" s="3" t="inlineStr">
        <is>
          <t>8/12 審查會議（17:40 報到、承德路三段 287 號 C 棟）；8/31 八月查核完成線；9 月無查核點（衝開發、9 月底累計進度須達 60%）；10/1-3 台北國際照顧博覽會；11/16 計畫結束與結案驗收。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34" customWidth="1" min="4" max="4"/>
    <col width="16" customWidth="1" min="5" max="5"/>
    <col width="15" customWidth="1" min="6" max="6"/>
    <col width="9" customWidth="1" min="7" max="7"/>
    <col width="11" customWidth="1" min="8" max="8"/>
    <col width="28" customWidth="1" min="9" max="9"/>
  </cols>
  <sheetData>
    <row r="1">
      <c r="A1" s="5" t="inlineStr">
        <is>
          <t>編號</t>
        </is>
      </c>
      <c r="B1" s="5" t="inlineStr">
        <is>
          <t>查核點</t>
        </is>
      </c>
      <c r="C1" s="5" t="inlineStr">
        <is>
          <t>工作項目</t>
        </is>
      </c>
      <c r="D1" s="5" t="inlineStr">
        <is>
          <t>要交什麼（白話）</t>
        </is>
      </c>
      <c r="E1" s="5" t="inlineStr">
        <is>
          <t>文件連結</t>
        </is>
      </c>
      <c r="F1" s="5" t="inlineStr">
        <is>
          <t>負責</t>
        </is>
      </c>
      <c r="G1" s="5" t="inlineStr">
        <is>
          <t>到期</t>
        </is>
      </c>
      <c r="H1" s="5" t="inlineStr">
        <is>
          <t>狀態</t>
        </is>
      </c>
      <c r="I1" s="5" t="inlineStr">
        <is>
          <t>備註</t>
        </is>
      </c>
    </row>
    <row r="2">
      <c r="A2" s="6" t="inlineStr">
        <is>
          <t>A1-1</t>
        </is>
      </c>
      <c r="B2" s="6" t="inlineStr">
        <is>
          <t>A1 約束層</t>
        </is>
      </c>
      <c r="C2" s="7" t="inlineStr">
        <is>
          <t>約束層規則 v1</t>
        </is>
      </c>
      <c r="D2" s="7" t="inlineStr">
        <is>
          <t>AI 跟長輩講話的「分寸規則書」</t>
        </is>
      </c>
      <c r="E2" s="8">
        <f>HYPERLINK("https://docs.google.com/document/d/1c_vn5R_DQWfhWll7ud0_lY5fF6toifai8_yH8qVYeGo/edit","開規則文件")</f>
        <v/>
      </c>
      <c r="F2" s="6" t="inlineStr">
        <is>
          <t>蘇菲</t>
        </is>
      </c>
      <c r="G2" s="6" t="inlineStr">
        <is>
          <t>8/7</t>
        </is>
      </c>
      <c r="H2" s="6" t="inlineStr">
        <is>
          <t>完成</t>
        </is>
      </c>
      <c r="I2" s="7" t="inlineStr">
        <is>
          <t>已上雲端</t>
        </is>
      </c>
    </row>
    <row r="3">
      <c r="A3" s="9" t="inlineStr">
        <is>
          <t>A1-2</t>
        </is>
      </c>
      <c r="B3" s="9" t="inlineStr">
        <is>
          <t>A1 約束層</t>
        </is>
      </c>
      <c r="C3" s="10" t="inlineStr">
        <is>
          <t>規則接進產品</t>
        </is>
      </c>
      <c r="D3" s="10" t="inlineStr">
        <is>
          <t>把規則書真的裝進 App 對話裡</t>
        </is>
      </c>
      <c r="E3" s="9" t="inlineStr"/>
      <c r="F3" s="9" t="inlineStr">
        <is>
          <t>Edward＋AI開發</t>
        </is>
      </c>
      <c r="G3" s="9" t="inlineStr">
        <is>
          <t>8/17</t>
        </is>
      </c>
      <c r="H3" s="9" t="inlineStr">
        <is>
          <t>未開始</t>
        </is>
      </c>
      <c r="I3" s="10" t="inlineStr">
        <is>
          <t>審查會後第一優先</t>
        </is>
      </c>
    </row>
    <row r="4">
      <c r="A4" s="9" t="inlineStr">
        <is>
          <t>A1-3</t>
        </is>
      </c>
      <c r="B4" s="9" t="inlineStr">
        <is>
          <t>A1 約束層</t>
        </is>
      </c>
      <c r="C4" s="10" t="inlineStr">
        <is>
          <t>56 題實測</t>
        </is>
      </c>
      <c r="D4" s="10" t="inlineStr">
        <is>
          <t>照題庫逐題測、記錄過不過</t>
        </is>
      </c>
      <c r="E4" s="11">
        <f>HYPERLINK("https://docs.google.com/document/d/1IEbrijbuGdnalrG7k24bxGGyF5k0wRd8ClMw-tIvIVc/edit","開測試題庫")</f>
        <v/>
      </c>
      <c r="F4" s="9" t="inlineStr">
        <is>
          <t>Edward＋蘇菲</t>
        </is>
      </c>
      <c r="G4" s="9" t="inlineStr">
        <is>
          <t>8/22</t>
        </is>
      </c>
      <c r="H4" s="9" t="inlineStr">
        <is>
          <t>未開始</t>
        </is>
      </c>
      <c r="I4" s="10" t="inlineStr">
        <is>
          <t>測完填題庫結果欄</t>
        </is>
      </c>
    </row>
    <row r="5">
      <c r="A5" s="9" t="inlineStr">
        <is>
          <t>A1-4</t>
        </is>
      </c>
      <c r="B5" s="9" t="inlineStr">
        <is>
          <t>A1 約束層</t>
        </is>
      </c>
      <c r="C5" s="10" t="inlineStr">
        <is>
          <t>驗收紀錄成冊</t>
        </is>
      </c>
      <c r="D5" s="10" t="inlineStr">
        <is>
          <t>把上面三步整理成一份紀錄</t>
        </is>
      </c>
      <c r="E5" s="9" t="inlineStr"/>
      <c r="F5" s="9" t="inlineStr">
        <is>
          <t>蘇菲</t>
        </is>
      </c>
      <c r="G5" s="9" t="inlineStr">
        <is>
          <t>8/29</t>
        </is>
      </c>
      <c r="H5" s="9" t="inlineStr">
        <is>
          <t>未開始</t>
        </is>
      </c>
      <c r="I5" s="10" t="inlineStr"/>
    </row>
    <row r="6">
      <c r="A6" s="9" t="inlineStr">
        <is>
          <t>B1-1</t>
        </is>
      </c>
      <c r="B6" s="9" t="inlineStr">
        <is>
          <t>B1 iOS/UIUX</t>
        </is>
      </c>
      <c r="C6" s="10" t="inlineStr">
        <is>
          <t>前端管理介面第一版</t>
        </is>
      </c>
      <c r="D6" s="10" t="inlineStr">
        <is>
          <t>後台配套的管理畫面</t>
        </is>
      </c>
      <c r="E6" s="9" t="inlineStr"/>
      <c r="F6" s="9" t="inlineStr">
        <is>
          <t>Edward＋AI開發</t>
        </is>
      </c>
      <c r="G6" s="9" t="inlineStr">
        <is>
          <t>8/29</t>
        </is>
      </c>
      <c r="H6" s="9" t="inlineStr">
        <is>
          <t>未開始</t>
        </is>
      </c>
      <c r="I6" s="10" t="inlineStr">
        <is>
          <t>沿用後台元件</t>
        </is>
      </c>
    </row>
    <row r="7">
      <c r="A7" s="9" t="inlineStr">
        <is>
          <t>B1-2</t>
        </is>
      </c>
      <c r="B7" s="9" t="inlineStr">
        <is>
          <t>B1 iOS/UIUX</t>
        </is>
      </c>
      <c r="C7" s="10" t="inlineStr">
        <is>
          <t>iOS＋UIUX 驗收紀錄</t>
        </is>
      </c>
      <c r="D7" s="10" t="inlineStr">
        <is>
          <t>功能清單＋畫面對照整理成冊</t>
        </is>
      </c>
      <c r="E7" s="9" t="inlineStr"/>
      <c r="F7" s="9" t="inlineStr">
        <is>
          <t>蘇菲</t>
        </is>
      </c>
      <c r="G7" s="9" t="inlineStr">
        <is>
          <t>8/31</t>
        </is>
      </c>
      <c r="H7" s="9" t="inlineStr">
        <is>
          <t>未開始</t>
        </is>
      </c>
      <c r="I7" s="10" t="inlineStr">
        <is>
          <t>素材現成</t>
        </is>
      </c>
    </row>
    <row r="8">
      <c r="A8" s="6" t="inlineStr">
        <is>
          <t>C1-1</t>
        </is>
      </c>
      <c r="B8" s="6" t="inlineStr">
        <is>
          <t>C1 營運後台</t>
        </is>
      </c>
      <c r="C8" s="7" t="inlineStr">
        <is>
          <t>開發需求單</t>
        </is>
      </c>
      <c r="D8" s="7" t="inlineStr">
        <is>
          <t>席次管理要做什麼的規格書</t>
        </is>
      </c>
      <c r="E8" s="8">
        <f>HYPERLINK("https://docs.google.com/document/d/153rUZt1wSLNhvlorqBY50i3de8ZCMKhh3XCy-GEqznI/edit","開需求單")</f>
        <v/>
      </c>
      <c r="F8" s="6" t="inlineStr">
        <is>
          <t>蘇菲</t>
        </is>
      </c>
      <c r="G8" s="6" t="inlineStr">
        <is>
          <t>8/7</t>
        </is>
      </c>
      <c r="H8" s="6" t="inlineStr">
        <is>
          <t>完成</t>
        </is>
      </c>
      <c r="I8" s="7" t="inlineStr">
        <is>
          <t>已上雲端</t>
        </is>
      </c>
    </row>
    <row r="9">
      <c r="A9" s="9" t="inlineStr">
        <is>
          <t>C1-2</t>
        </is>
      </c>
      <c r="B9" s="9" t="inlineStr">
        <is>
          <t>C1 營運後台</t>
        </is>
      </c>
      <c r="C9" s="10" t="inlineStr">
        <is>
          <t>開發：組織帳號＋席次開通</t>
        </is>
      </c>
      <c r="D9" s="10" t="inlineStr">
        <is>
          <t>企業建檔、幫長輩開通席次</t>
        </is>
      </c>
      <c r="E9" s="9" t="inlineStr"/>
      <c r="F9" s="9" t="inlineStr">
        <is>
          <t>Edward＋AI開發</t>
        </is>
      </c>
      <c r="G9" s="9" t="inlineStr">
        <is>
          <t>8/17</t>
        </is>
      </c>
      <c r="H9" s="9" t="inlineStr">
        <is>
          <t>未開始</t>
        </is>
      </c>
      <c r="I9" s="10" t="inlineStr">
        <is>
          <t>最大缺口</t>
        </is>
      </c>
    </row>
    <row r="10">
      <c r="A10" s="9" t="inlineStr">
        <is>
          <t>C1-3</t>
        </is>
      </c>
      <c r="B10" s="9" t="inlineStr">
        <is>
          <t>C1 營運後台</t>
        </is>
      </c>
      <c r="C10" s="10" t="inlineStr">
        <is>
          <t>開發：報表＋月結＋權限</t>
        </is>
      </c>
      <c r="D10" s="10" t="inlineStr">
        <is>
          <t>企業看彙總報表、產月結單</t>
        </is>
      </c>
      <c r="E10" s="9" t="inlineStr"/>
      <c r="F10" s="9" t="inlineStr">
        <is>
          <t>Edward＋AI開發</t>
        </is>
      </c>
      <c r="G10" s="9" t="inlineStr">
        <is>
          <t>8/24</t>
        </is>
      </c>
      <c r="H10" s="9" t="inlineStr">
        <is>
          <t>未開始</t>
        </is>
      </c>
      <c r="I10" s="10" t="inlineStr"/>
    </row>
    <row r="11">
      <c r="A11" s="9" t="inlineStr">
        <is>
          <t>C1-4</t>
        </is>
      </c>
      <c r="B11" s="9" t="inlineStr">
        <is>
          <t>C1 營運後台</t>
        </is>
      </c>
      <c r="C11" s="10" t="inlineStr">
        <is>
          <t>驗收紀錄成冊</t>
        </is>
      </c>
      <c r="D11" s="10" t="inlineStr">
        <is>
          <t>功能截圖＋測試紀錄</t>
        </is>
      </c>
      <c r="E11" s="9" t="inlineStr"/>
      <c r="F11" s="9" t="inlineStr">
        <is>
          <t>蘇菲</t>
        </is>
      </c>
      <c r="G11" s="9" t="inlineStr">
        <is>
          <t>8/29</t>
        </is>
      </c>
      <c r="H11" s="9" t="inlineStr">
        <is>
          <t>未開始</t>
        </is>
      </c>
      <c r="I11" s="10" t="inlineStr"/>
    </row>
    <row r="12">
      <c r="A12" s="12" t="inlineStr">
        <is>
          <t>D1-1</t>
        </is>
      </c>
      <c r="B12" s="12" t="inlineStr">
        <is>
          <t>D1 QA/檢測</t>
        </is>
      </c>
      <c r="C12" s="13" t="inlineStr">
        <is>
          <t>確認信寄出</t>
        </is>
      </c>
      <c r="D12" s="13" t="inlineStr">
        <is>
          <t>跟檢測公司確認送測範圍</t>
        </is>
      </c>
      <c r="E12" s="14">
        <f>HYPERLINK("https://docs.google.com/document/d/1hRxy5AA2BgJINMBRCOIFy2DojJGwkKm9QORtdbuFnVs/edit","開信件草稿")</f>
        <v/>
      </c>
      <c r="F12" s="12" t="inlineStr">
        <is>
          <t>Edward</t>
        </is>
      </c>
      <c r="G12" s="12" t="inlineStr">
        <is>
          <t>8/8</t>
        </is>
      </c>
      <c r="H12" s="12" t="inlineStr">
        <is>
          <t>等Edward</t>
        </is>
      </c>
      <c r="I12" s="13" t="inlineStr">
        <is>
          <t>填窗口姓名即可寄</t>
        </is>
      </c>
    </row>
    <row r="13">
      <c r="A13" s="9" t="inlineStr">
        <is>
          <t>D1-2</t>
        </is>
      </c>
      <c r="B13" s="9" t="inlineStr">
        <is>
          <t>D1 QA/檢測</t>
        </is>
      </c>
      <c r="C13" s="10" t="inlineStr">
        <is>
          <t>回覆歸檔</t>
        </is>
      </c>
      <c r="D13" s="10" t="inlineStr">
        <is>
          <t>對方回信存進資料夾</t>
        </is>
      </c>
      <c r="E13" s="9" t="inlineStr"/>
      <c r="F13" s="9" t="inlineStr">
        <is>
          <t>蘇菲</t>
        </is>
      </c>
      <c r="G13" s="9" t="inlineStr">
        <is>
          <t>8/15</t>
        </is>
      </c>
      <c r="H13" s="9" t="inlineStr">
        <is>
          <t>未開始</t>
        </is>
      </c>
      <c r="I13" s="10" t="inlineStr"/>
    </row>
    <row r="14">
      <c r="A14" s="9" t="inlineStr">
        <is>
          <t>D1-3</t>
        </is>
      </c>
      <c r="B14" s="9" t="inlineStr">
        <is>
          <t>D1 QA/檢測</t>
        </is>
      </c>
      <c r="C14" s="10" t="inlineStr">
        <is>
          <t>整合測試紀錄</t>
        </is>
      </c>
      <c r="D14" s="10" t="inlineStr">
        <is>
          <t>把既有測試整理成正式紀錄</t>
        </is>
      </c>
      <c r="E14" s="9" t="inlineStr"/>
      <c r="F14" s="9" t="inlineStr">
        <is>
          <t>蘇菲</t>
        </is>
      </c>
      <c r="G14" s="9" t="inlineStr">
        <is>
          <t>8/22</t>
        </is>
      </c>
      <c r="H14" s="9" t="inlineStr">
        <is>
          <t>未開始</t>
        </is>
      </c>
      <c r="I14" s="10" t="inlineStr"/>
    </row>
    <row r="15">
      <c r="A15" s="6" t="inlineStr">
        <is>
          <t>E1-1</t>
        </is>
      </c>
      <c r="B15" s="6" t="inlineStr">
        <is>
          <t>E1 研究/場域</t>
        </is>
      </c>
      <c r="C15" s="7" t="inlineStr">
        <is>
          <t>研究報告 v1</t>
        </is>
      </c>
      <c r="D15" s="7" t="inlineStr">
        <is>
          <t>使用者研究正式報告</t>
        </is>
      </c>
      <c r="E15" s="8">
        <f>HYPERLINK("https://docs.google.com/document/d/1zJ2CeNgZezal4nHbX9X_RM7ssc8NRG4WRETXB2jjG6M/edit","開研究報告")</f>
        <v/>
      </c>
      <c r="F15" s="6" t="inlineStr">
        <is>
          <t>蘇菲</t>
        </is>
      </c>
      <c r="G15" s="6" t="inlineStr">
        <is>
          <t>8/7</t>
        </is>
      </c>
      <c r="H15" s="6" t="inlineStr">
        <is>
          <t>完成</t>
        </is>
      </c>
      <c r="I15" s="7" t="inlineStr">
        <is>
          <t>已上雲端</t>
        </is>
      </c>
    </row>
    <row r="16">
      <c r="A16" s="12" t="inlineStr">
        <is>
          <t>E1-2</t>
        </is>
      </c>
      <c r="B16" s="12" t="inlineStr">
        <is>
          <t>E1 研究/場域</t>
        </is>
      </c>
      <c r="C16" s="13" t="inlineStr">
        <is>
          <t>報告定稿</t>
        </is>
      </c>
      <c r="D16" s="13" t="inlineStr">
        <is>
          <t>Edward 過目點頭</t>
        </is>
      </c>
      <c r="E16" s="12" t="inlineStr"/>
      <c r="F16" s="12" t="inlineStr">
        <is>
          <t>Edward</t>
        </is>
      </c>
      <c r="G16" s="12" t="inlineStr">
        <is>
          <t>8/12</t>
        </is>
      </c>
      <c r="H16" s="12" t="inlineStr">
        <is>
          <t>等Edward</t>
        </is>
      </c>
      <c r="I16" s="13" t="inlineStr">
        <is>
          <t>過目即可</t>
        </is>
      </c>
    </row>
    <row r="17">
      <c r="A17" s="12" t="inlineStr">
        <is>
          <t>E1-3</t>
        </is>
      </c>
      <c r="B17" s="12" t="inlineStr">
        <is>
          <t>E1 研究/場域</t>
        </is>
      </c>
      <c r="C17" s="13" t="inlineStr">
        <is>
          <t>場域洽談</t>
        </is>
      </c>
      <c r="D17" s="13" t="inlineStr">
        <is>
          <t>跟健康中心／企業口頭談好 10 月來試辦（免簽約）</t>
        </is>
      </c>
      <c r="E17" s="12" t="inlineStr"/>
      <c r="F17" s="12" t="inlineStr">
        <is>
          <t>Edward</t>
        </is>
      </c>
      <c r="G17" s="12" t="inlineStr">
        <is>
          <t>8/22</t>
        </is>
      </c>
      <c r="H17" s="12" t="inlineStr">
        <is>
          <t>等Edward</t>
        </is>
      </c>
      <c r="I17" s="13" t="inlineStr">
        <is>
          <t>候選：青松/清福/佳醫</t>
        </is>
      </c>
    </row>
    <row r="18">
      <c r="A18" s="9" t="inlineStr">
        <is>
          <t>E1-4</t>
        </is>
      </c>
      <c r="B18" s="9" t="inlineStr">
        <is>
          <t>E1 研究/場域</t>
        </is>
      </c>
      <c r="C18" s="10" t="inlineStr">
        <is>
          <t>場域名單成冊</t>
        </is>
      </c>
      <c r="D18" s="10" t="inlineStr">
        <is>
          <t>確認名單＋往來紀錄</t>
        </is>
      </c>
      <c r="E18" s="9" t="inlineStr"/>
      <c r="F18" s="9" t="inlineStr">
        <is>
          <t>蘇菲</t>
        </is>
      </c>
      <c r="G18" s="9" t="inlineStr">
        <is>
          <t>8/25</t>
        </is>
      </c>
      <c r="H18" s="9" t="inlineStr">
        <is>
          <t>未開始</t>
        </is>
      </c>
      <c r="I18" s="10" t="inlineStr"/>
    </row>
    <row r="19">
      <c r="A19" s="15" t="inlineStr">
        <is>
          <t>M-1</t>
        </is>
      </c>
      <c r="B19" s="15" t="inlineStr">
        <is>
          <t>里程碑</t>
        </is>
      </c>
      <c r="C19" s="16" t="inlineStr">
        <is>
          <t>審查會議</t>
        </is>
      </c>
      <c r="D19" s="16" t="inlineStr"/>
      <c r="E19" s="15" t="inlineStr"/>
      <c r="F19" s="15" t="inlineStr">
        <is>
          <t>Edward</t>
        </is>
      </c>
      <c r="G19" s="15" t="inlineStr">
        <is>
          <t>8/12</t>
        </is>
      </c>
      <c r="H19" s="15" t="inlineStr">
        <is>
          <t>里程碑</t>
        </is>
      </c>
      <c r="I19" s="16" t="inlineStr">
        <is>
          <t>17:40 報到</t>
        </is>
      </c>
    </row>
    <row r="20">
      <c r="A20" s="15" t="inlineStr">
        <is>
          <t>M-2</t>
        </is>
      </c>
      <c r="B20" s="15" t="inlineStr">
        <is>
          <t>里程碑</t>
        </is>
      </c>
      <c r="C20" s="16" t="inlineStr">
        <is>
          <t>五份驗收紀錄全部成冊</t>
        </is>
      </c>
      <c r="D20" s="16" t="inlineStr">
        <is>
          <t>8 月完成線</t>
        </is>
      </c>
      <c r="E20" s="15" t="inlineStr"/>
      <c r="F20" s="15" t="inlineStr">
        <is>
          <t>蘇菲</t>
        </is>
      </c>
      <c r="G20" s="15" t="inlineStr">
        <is>
          <t>8/31</t>
        </is>
      </c>
      <c r="H20" s="15" t="inlineStr">
        <is>
          <t>里程碑</t>
        </is>
      </c>
      <c r="I20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4" customWidth="1" min="4" max="4"/>
    <col width="15" customWidth="1" min="5" max="5"/>
    <col width="10" customWidth="1" min="6" max="6"/>
    <col width="11" customWidth="1" min="7" max="7"/>
    <col width="36" customWidth="1" min="8" max="8"/>
  </cols>
  <sheetData>
    <row r="1">
      <c r="A1" s="5" t="inlineStr">
        <is>
          <t>編號</t>
        </is>
      </c>
      <c r="B1" s="5" t="inlineStr">
        <is>
          <t>類型</t>
        </is>
      </c>
      <c r="C1" s="5" t="inlineStr">
        <is>
          <t>工作項目</t>
        </is>
      </c>
      <c r="D1" s="5" t="inlineStr">
        <is>
          <t>要交什麼（白話）</t>
        </is>
      </c>
      <c r="E1" s="5" t="inlineStr">
        <is>
          <t>負責</t>
        </is>
      </c>
      <c r="F1" s="5" t="inlineStr">
        <is>
          <t>到期</t>
        </is>
      </c>
      <c r="G1" s="5" t="inlineStr">
        <is>
          <t>狀態</t>
        </is>
      </c>
      <c r="H1" s="5" t="inlineStr">
        <is>
          <t>核銷要留的證明</t>
        </is>
      </c>
    </row>
    <row r="2">
      <c r="A2" s="9" t="inlineStr">
        <is>
          <t>A3</t>
        </is>
      </c>
      <c r="B2" s="9" t="inlineStr">
        <is>
          <t>查核點(正式)</t>
        </is>
      </c>
      <c r="C2" s="10" t="inlineStr">
        <is>
          <t>記憶情境感知與安全守護 開發測試完成</t>
        </is>
      </c>
      <c r="D2" s="10" t="inlineStr">
        <is>
          <t>開發測試紀錄——10 月唯一正式查核點</t>
        </is>
      </c>
      <c r="E2" s="9" t="inlineStr">
        <is>
          <t>Edward＋AI開發</t>
        </is>
      </c>
      <c r="F2" s="9" t="inlineStr">
        <is>
          <t>10/31</t>
        </is>
      </c>
      <c r="G2" s="9" t="inlineStr">
        <is>
          <t>未開始</t>
        </is>
      </c>
      <c r="H2" s="10" t="inlineStr">
        <is>
          <t>測試紀錄歸檔</t>
        </is>
      </c>
    </row>
    <row r="3">
      <c r="A3" s="9" t="inlineStr">
        <is>
          <t>T-1</t>
        </is>
      </c>
      <c r="B3" s="9" t="inlineStr">
        <is>
          <t>工作</t>
        </is>
      </c>
      <c r="C3" s="10" t="inlineStr">
        <is>
          <t>Android 版整合衝刺</t>
        </is>
      </c>
      <c r="D3" s="10" t="inlineStr">
        <is>
          <t>為 11 月雙平台驗收做準備</t>
        </is>
      </c>
      <c r="E3" s="9" t="inlineStr">
        <is>
          <t>Edward＋AI開發</t>
        </is>
      </c>
      <c r="F3" s="9" t="inlineStr">
        <is>
          <t>10/31</t>
        </is>
      </c>
      <c r="G3" s="9" t="inlineStr">
        <is>
          <t>未開始</t>
        </is>
      </c>
      <c r="H3" s="10" t="inlineStr"/>
    </row>
    <row r="4">
      <c r="A4" s="9" t="inlineStr">
        <is>
          <t>T-2</t>
        </is>
      </c>
      <c r="B4" s="9" t="inlineStr">
        <is>
          <t>工作</t>
        </is>
      </c>
      <c r="C4" s="10" t="inlineStr">
        <is>
          <t>App 資安檢測送測</t>
        </is>
      </c>
      <c r="D4" s="10" t="inlineStr">
        <is>
          <t>把 App 交給愛台灣送檢測</t>
        </is>
      </c>
      <c r="E4" s="9" t="inlineStr">
        <is>
          <t>Edward</t>
        </is>
      </c>
      <c r="F4" s="9" t="inlineStr">
        <is>
          <t>10/15</t>
        </is>
      </c>
      <c r="G4" s="9" t="inlineStr">
        <is>
          <t>未開始</t>
        </is>
      </c>
      <c r="H4" s="10" t="inlineStr">
        <is>
          <t>送測文件與往來信件</t>
        </is>
      </c>
    </row>
    <row r="5">
      <c r="A5" s="9" t="inlineStr">
        <is>
          <t>T-3</t>
        </is>
      </c>
      <c r="B5" s="9" t="inlineStr">
        <is>
          <t>工作</t>
        </is>
      </c>
      <c r="C5" s="10" t="inlineStr">
        <is>
          <t>場域試辦準備／啟動</t>
        </is>
      </c>
      <c r="D5" s="10" t="inlineStr">
        <is>
          <t>8 月談好的場域開始跑試辦</t>
        </is>
      </c>
      <c r="E5" s="9" t="inlineStr">
        <is>
          <t>Edward</t>
        </is>
      </c>
      <c r="F5" s="9" t="inlineStr">
        <is>
          <t>10/31</t>
        </is>
      </c>
      <c r="G5" s="9" t="inlineStr">
        <is>
          <t>未開始</t>
        </is>
      </c>
      <c r="H5" s="10" t="inlineStr">
        <is>
          <t>同意書、試辦紀錄</t>
        </is>
      </c>
    </row>
    <row r="6">
      <c r="A6" s="9" t="inlineStr">
        <is>
          <t>T-4</t>
        </is>
      </c>
      <c r="B6" s="9" t="inlineStr">
        <is>
          <t>推廣(要核銷)</t>
        </is>
      </c>
      <c r="C6" s="10" t="inlineStr">
        <is>
          <t>台北國際照顧博覽會參展</t>
        </is>
      </c>
      <c r="D6" s="10" t="inlineStr">
        <is>
          <t>實機展示、蒐集場域意向</t>
        </is>
      </c>
      <c r="E6" s="9" t="inlineStr">
        <is>
          <t>Edward</t>
        </is>
      </c>
      <c r="F6" s="9" t="inlineStr">
        <is>
          <t>10/1-3</t>
        </is>
      </c>
      <c r="G6" s="9" t="inlineStr">
        <is>
          <t>未開始</t>
        </is>
      </c>
      <c r="H6" s="10" t="inlineStr">
        <is>
          <t>攤位與佈置發票、現場照片、意向清單——推廣費 20 萬靠這包核銷</t>
        </is>
      </c>
    </row>
    <row r="7">
      <c r="A7" s="9" t="inlineStr">
        <is>
          <t>T-5</t>
        </is>
      </c>
      <c r="B7" s="9" t="inlineStr">
        <is>
          <t>財務</t>
        </is>
      </c>
      <c r="C7" s="10" t="inlineStr">
        <is>
          <t>9-10 月工時冊與憑證</t>
        </is>
      </c>
      <c r="D7" s="10" t="inlineStr">
        <is>
          <t>月底收齊</t>
        </is>
      </c>
      <c r="E7" s="9" t="inlineStr">
        <is>
          <t>財務(陳少喬)</t>
        </is>
      </c>
      <c r="F7" s="9" t="inlineStr">
        <is>
          <t>每月底</t>
        </is>
      </c>
      <c r="G7" s="9" t="inlineStr">
        <is>
          <t>循環</t>
        </is>
      </c>
      <c r="H7" s="10" t="inlineStr">
        <is>
          <t>工時紀錄＋雲端與 AI 工具帳單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6" customWidth="1" min="4" max="4"/>
    <col width="10" customWidth="1" min="5" max="5"/>
    <col width="11" customWidth="1" min="6" max="6"/>
    <col width="30" customWidth="1" min="7" max="7"/>
  </cols>
  <sheetData>
    <row r="1">
      <c r="A1" s="5" t="inlineStr">
        <is>
          <t>編號</t>
        </is>
      </c>
      <c r="B1" s="5" t="inlineStr">
        <is>
          <t>查核點</t>
        </is>
      </c>
      <c r="C1" s="5" t="inlineStr">
        <is>
          <t>要交什麼（白話）</t>
        </is>
      </c>
      <c r="D1" s="5" t="inlineStr">
        <is>
          <t>負責</t>
        </is>
      </c>
      <c r="E1" s="5" t="inlineStr">
        <is>
          <t>到期</t>
        </is>
      </c>
      <c r="F1" s="5" t="inlineStr">
        <is>
          <t>狀態</t>
        </is>
      </c>
      <c r="G1" s="5" t="inlineStr">
        <is>
          <t>備註</t>
        </is>
      </c>
    </row>
    <row r="2">
      <c r="A2" s="9" t="inlineStr">
        <is>
          <t>A2</t>
        </is>
      </c>
      <c r="B2" s="9" t="inlineStr">
        <is>
          <t>心理支持約束層上線</t>
        </is>
      </c>
      <c r="C2" s="10" t="inlineStr">
        <is>
          <t>約束層正式上線＋對話品質測試報告</t>
        </is>
      </c>
      <c r="D2" s="9" t="inlineStr">
        <is>
          <t>Edward＋蘇菲</t>
        </is>
      </c>
      <c r="E2" s="9" t="inlineStr">
        <is>
          <t>11/16</t>
        </is>
      </c>
      <c r="F2" s="9" t="inlineStr">
        <is>
          <t>未開始</t>
        </is>
      </c>
      <c r="G2" s="10" t="inlineStr">
        <is>
          <t>含紅線100%、召回率、誤報率門檻</t>
        </is>
      </c>
    </row>
    <row r="3">
      <c r="A3" s="9" t="inlineStr">
        <is>
          <t>A4</t>
        </is>
      </c>
      <c r="B3" s="9" t="inlineStr">
        <is>
          <t>記憶感知與安全深化驗收</t>
        </is>
      </c>
      <c r="C3" s="10" t="inlineStr">
        <is>
          <t>深化功能驗收報告</t>
        </is>
      </c>
      <c r="D3" s="9" t="inlineStr">
        <is>
          <t>Edward＋蘇菲</t>
        </is>
      </c>
      <c r="E3" s="9" t="inlineStr">
        <is>
          <t>11/16</t>
        </is>
      </c>
      <c r="F3" s="9" t="inlineStr">
        <is>
          <t>未開始</t>
        </is>
      </c>
      <c r="G3" s="10" t="inlineStr"/>
    </row>
    <row r="4">
      <c r="A4" s="9" t="inlineStr">
        <is>
          <t>B2</t>
        </is>
      </c>
      <c r="B4" s="9" t="inlineStr">
        <is>
          <t>雙平台功能驗收</t>
        </is>
      </c>
      <c r="C4" s="10" t="inlineStr">
        <is>
          <t>Android＋iOS 優化＋前端介面通過驗收</t>
        </is>
      </c>
      <c r="D4" s="9" t="inlineStr">
        <is>
          <t>Edward＋AI開發</t>
        </is>
      </c>
      <c r="E4" s="9" t="inlineStr">
        <is>
          <t>11/16</t>
        </is>
      </c>
      <c r="F4" s="9" t="inlineStr">
        <is>
          <t>未開始</t>
        </is>
      </c>
      <c r="G4" s="10" t="inlineStr">
        <is>
          <t>含語音延遲門檻</t>
        </is>
      </c>
    </row>
    <row r="5">
      <c r="A5" s="9" t="inlineStr">
        <is>
          <t>C2</t>
        </is>
      </c>
      <c r="B5" s="9" t="inlineStr">
        <is>
          <t>營運後台上線</t>
        </is>
      </c>
      <c r="C5" s="10" t="inlineStr">
        <is>
          <t>席次管理＋關懷報告兩模組上線驗收</t>
        </is>
      </c>
      <c r="D5" s="9" t="inlineStr">
        <is>
          <t>Edward＋AI開發</t>
        </is>
      </c>
      <c r="E5" s="9" t="inlineStr">
        <is>
          <t>11/16</t>
        </is>
      </c>
      <c r="F5" s="9" t="inlineStr">
        <is>
          <t>未開始</t>
        </is>
      </c>
      <c r="G5" s="10" t="inlineStr">
        <is>
          <t>含異常通知準確率門檻</t>
        </is>
      </c>
    </row>
    <row r="6">
      <c r="A6" s="9" t="inlineStr">
        <is>
          <t>D2</t>
        </is>
      </c>
      <c r="B6" s="9" t="inlineStr">
        <is>
          <t>資安檢測通過</t>
        </is>
      </c>
      <c r="C6" s="10" t="inlineStr">
        <is>
          <t>檢測通過證明＋修補複測報告</t>
        </is>
      </c>
      <c r="D6" s="9" t="inlineStr">
        <is>
          <t>愛台灣＋Edward</t>
        </is>
      </c>
      <c r="E6" s="9" t="inlineStr">
        <is>
          <t>11/16</t>
        </is>
      </c>
      <c r="F6" s="9" t="inlineStr">
        <is>
          <t>未開始</t>
        </is>
      </c>
      <c r="G6" s="10" t="inlineStr">
        <is>
          <t>檢測等級明載（L2 或 L3）</t>
        </is>
      </c>
    </row>
    <row r="7">
      <c r="A7" s="9" t="inlineStr">
        <is>
          <t>E2</t>
        </is>
      </c>
      <c r="B7" s="9" t="inlineStr">
        <is>
          <t>場域試辦成效</t>
        </is>
      </c>
      <c r="C7" s="10" t="inlineStr">
        <is>
          <t>試辦成效報告＋2-3 家付費導入意向書</t>
        </is>
      </c>
      <c r="D7" s="9" t="inlineStr">
        <is>
          <t>Edward</t>
        </is>
      </c>
      <c r="E7" s="9" t="inlineStr">
        <is>
          <t>11/16</t>
        </is>
      </c>
      <c r="F7" s="9" t="inlineStr">
        <is>
          <t>未開始</t>
        </is>
      </c>
      <c r="G7" s="10" t="inlineStr">
        <is>
          <t>含長者操作完成率門檻</t>
        </is>
      </c>
    </row>
    <row r="8">
      <c r="A8" s="9" t="inlineStr">
        <is>
          <t>S</t>
        </is>
      </c>
      <c r="B8" s="9" t="inlineStr">
        <is>
          <t>結案報告</t>
        </is>
      </c>
      <c r="C8" s="10" t="inlineStr">
        <is>
          <t>全程結案報告（含六項門檻測試統計）</t>
        </is>
      </c>
      <c r="D8" s="9" t="inlineStr">
        <is>
          <t>蘇菲＋Edward</t>
        </is>
      </c>
      <c r="E8" s="9" t="inlineStr">
        <is>
          <t>11/16</t>
        </is>
      </c>
      <c r="F8" s="9" t="inlineStr">
        <is>
          <t>未開始</t>
        </is>
      </c>
      <c r="G8" s="10" t="inlineStr"/>
    </row>
    <row r="9">
      <c r="A9" s="9" t="inlineStr">
        <is>
          <t>F-1</t>
        </is>
      </c>
      <c r="B9" s="9" t="inlineStr">
        <is>
          <t>財務結案</t>
        </is>
      </c>
      <c r="C9" s="10" t="inlineStr">
        <is>
          <t>工時冊全程收齊＋憑證整理＋經費核銷表</t>
        </is>
      </c>
      <c r="D9" s="9" t="inlineStr">
        <is>
          <t>財務(陳少喬)</t>
        </is>
      </c>
      <c r="E9" s="9" t="inlineStr">
        <is>
          <t>11/16</t>
        </is>
      </c>
      <c r="F9" s="9" t="inlineStr">
        <is>
          <t>未開始</t>
        </is>
      </c>
      <c r="G9" s="10" t="inlineStr">
        <is>
          <t>三種帳（工時／憑證／產出）齊備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16" customWidth="1" min="4" max="4"/>
  </cols>
  <sheetData>
    <row r="1">
      <c r="A1" s="5" t="inlineStr">
        <is>
          <t>查核點</t>
        </is>
      </c>
      <c r="B1" s="5" t="inlineStr">
        <is>
          <t>文件</t>
        </is>
      </c>
      <c r="C1" s="5" t="inlineStr">
        <is>
          <t>雲端連結</t>
        </is>
      </c>
      <c r="D1" s="5" t="inlineStr">
        <is>
          <t>狀態</t>
        </is>
      </c>
    </row>
    <row r="2">
      <c r="A2" s="17" t="inlineStr">
        <is>
          <t>—</t>
        </is>
      </c>
      <c r="B2" s="18" t="inlineStr">
        <is>
          <t>雲端資料夾（所有文件的家）</t>
        </is>
      </c>
      <c r="C2" s="19">
        <f>HYPERLINK("https://drive.google.com/drive/folders/19LtbvxZevGZMAn2tfsitYrSUTNeaWZbs","開資料夾")</f>
        <v/>
      </c>
      <c r="D2" s="17" t="inlineStr">
        <is>
          <t>—</t>
        </is>
      </c>
    </row>
    <row r="3">
      <c r="A3" s="17" t="inlineStr">
        <is>
          <t>A1</t>
        </is>
      </c>
      <c r="B3" s="18" t="inlineStr">
        <is>
          <t>心理支持約束層規則 v1</t>
        </is>
      </c>
      <c r="C3" s="19">
        <f>HYPERLINK("https://docs.google.com/document/d/1c_vn5R_DQWfhWll7ud0_lY5fF6toifai8_yH8qVYeGo/edit","開文件")</f>
        <v/>
      </c>
      <c r="D3" s="17" t="inlineStr">
        <is>
          <t>初版完成</t>
        </is>
      </c>
    </row>
    <row r="4">
      <c r="A4" s="17" t="inlineStr">
        <is>
          <t>A1</t>
        </is>
      </c>
      <c r="B4" s="18" t="inlineStr">
        <is>
          <t>對話測試題庫 v1（56 題）</t>
        </is>
      </c>
      <c r="C4" s="19">
        <f>HYPERLINK("https://docs.google.com/document/d/1IEbrijbuGdnalrG7k24bxGGyF5k0wRd8ClMw-tIvIVc/edit","開文件")</f>
        <v/>
      </c>
      <c r="D4" s="17" t="inlineStr">
        <is>
          <t>初版完成</t>
        </is>
      </c>
    </row>
    <row r="5">
      <c r="A5" s="17" t="inlineStr">
        <is>
          <t>C1</t>
        </is>
      </c>
      <c r="B5" s="18" t="inlineStr">
        <is>
          <t>席次管理開發需求單 v1</t>
        </is>
      </c>
      <c r="C5" s="19">
        <f>HYPERLINK("https://docs.google.com/document/d/153rUZt1wSLNhvlorqBY50i3de8ZCMKhh3XCy-GEqznI/edit","開文件")</f>
        <v/>
      </c>
      <c r="D5" s="17" t="inlineStr">
        <is>
          <t>初版完成</t>
        </is>
      </c>
    </row>
    <row r="6">
      <c r="A6" s="17" t="inlineStr">
        <is>
          <t>D1</t>
        </is>
      </c>
      <c r="B6" s="18" t="inlineStr">
        <is>
          <t>愛台灣送測範圍確認信（草稿）</t>
        </is>
      </c>
      <c r="C6" s="19">
        <f>HYPERLINK("https://docs.google.com/document/d/1hRxy5AA2BgJINMBRCOIFy2DojJGwkKm9QORtdbuFnVs/edit","開文件")</f>
        <v/>
      </c>
      <c r="D6" s="17" t="inlineStr">
        <is>
          <t>待Edward寄出</t>
        </is>
      </c>
    </row>
    <row r="7">
      <c r="A7" s="17" t="inlineStr">
        <is>
          <t>E1</t>
        </is>
      </c>
      <c r="B7" s="18" t="inlineStr">
        <is>
          <t>使用者研究報告 v1</t>
        </is>
      </c>
      <c r="C7" s="19">
        <f>HYPERLINK("https://docs.google.com/document/d/1zJ2CeNgZezal4nHbX9X_RM7ssc8NRG4WRETXB2jjG6M/edit","開文件")</f>
        <v/>
      </c>
      <c r="D7" s="17" t="inlineStr">
        <is>
          <t>初版完成</t>
        </is>
      </c>
    </row>
    <row r="8">
      <c r="A8" s="17" t="inlineStr">
        <is>
          <t>—</t>
        </is>
      </c>
      <c r="B8" s="18" t="inlineStr">
        <is>
          <t>審查簡報 0806G（PDF 已另傳聊天室）</t>
        </is>
      </c>
      <c r="C8" s="17" t="inlineStr"/>
      <c r="D8" s="17" t="inlineStr">
        <is>
          <t>定稿待Edward點頭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2026-08-07T05:19:30Z</dcterms:created>
  <dcterms:modified xmlns:dcterms="http://purl.org/dc/terms/" xmlns:xsi="http://www.w3.org/2001/XMLSchema-instance" xsi:type="dcterms:W3CDTF">2026-08-07T05:19:30Z</dcterms:modified>
</cp:coreProperties>
</file>